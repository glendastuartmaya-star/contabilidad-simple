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xl/webextensions/webextension5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yro\Dropbox\ACCOUNTING\Accounting 2026\"/>
    </mc:Choice>
  </mc:AlternateContent>
  <xr:revisionPtr revIDLastSave="0" documentId="13_ncr:1_{6669D528-0A2E-456E-8014-0C63D5B1CCFB}" xr6:coauthVersionLast="47" xr6:coauthVersionMax="47" xr10:uidLastSave="{00000000-0000-0000-0000-000000000000}"/>
  <bookViews>
    <workbookView xWindow="-120" yWindow="-120" windowWidth="29040" windowHeight="15720" tabRatio="683" firstSheet="4" activeTab="8" xr2:uid="{17D23F08-EB17-4D65-A2EB-F3FF34B54632}"/>
  </bookViews>
  <sheets>
    <sheet name="Income" sheetId="2" r:id="rId1"/>
    <sheet name="Expenses" sheetId="3" r:id="rId2"/>
    <sheet name="P&amp;L" sheetId="5" r:id="rId3"/>
    <sheet name="P&amp;L Report" sheetId="7" r:id="rId4"/>
    <sheet name="Dashboard" sheetId="9" r:id="rId5"/>
    <sheet name="Settings" sheetId="1" r:id="rId6"/>
    <sheet name="Contract Labor" sheetId="14" r:id="rId7"/>
    <sheet name="Chart of Accounts" sheetId="15" r:id="rId8"/>
    <sheet name="Journal Entry" sheetId="16" r:id="rId9"/>
    <sheet name="General Ledger" sheetId="17" r:id="rId10"/>
    <sheet name="Trial Balance" sheetId="18" r:id="rId11"/>
    <sheet name="Customers" sheetId="19" r:id="rId12"/>
    <sheet name="Vendors" sheetId="20" r:id="rId13"/>
  </sheets>
  <definedNames>
    <definedName name="_xlnm.Print_Area" localSheetId="1">TablaGastos[#All]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7" i="3" l="1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B40" i="5"/>
  <c r="C40" i="5"/>
  <c r="D40" i="5"/>
  <c r="E40" i="5"/>
  <c r="F40" i="5"/>
  <c r="G40" i="5"/>
  <c r="H40" i="5"/>
  <c r="I40" i="5"/>
  <c r="J40" i="5"/>
  <c r="K40" i="5"/>
  <c r="L40" i="5"/>
  <c r="M40" i="5"/>
  <c r="B39" i="5"/>
  <c r="C39" i="5"/>
  <c r="D39" i="5"/>
  <c r="E39" i="5"/>
  <c r="F39" i="5"/>
  <c r="G39" i="5"/>
  <c r="H39" i="5"/>
  <c r="I39" i="5"/>
  <c r="J39" i="5"/>
  <c r="K39" i="5"/>
  <c r="L39" i="5"/>
  <c r="M39" i="5"/>
  <c r="B38" i="5"/>
  <c r="C38" i="5"/>
  <c r="D38" i="5"/>
  <c r="E38" i="5"/>
  <c r="F38" i="5"/>
  <c r="G38" i="5"/>
  <c r="H38" i="5"/>
  <c r="I38" i="5"/>
  <c r="J38" i="5"/>
  <c r="K38" i="5"/>
  <c r="L38" i="5"/>
  <c r="M38" i="5"/>
  <c r="B59" i="7"/>
  <c r="B58" i="7"/>
  <c r="B54" i="7"/>
  <c r="B53" i="7"/>
  <c r="B52" i="7"/>
  <c r="B51" i="7"/>
  <c r="B50" i="7"/>
  <c r="B46" i="7"/>
  <c r="B45" i="7"/>
  <c r="B44" i="7"/>
  <c r="B43" i="7"/>
  <c r="B42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1" i="7"/>
  <c r="B10" i="7"/>
  <c r="B9" i="7"/>
  <c r="B8" i="7"/>
  <c r="B7" i="7"/>
  <c r="B6" i="7"/>
  <c r="A32" i="14" a="1"/>
  <c r="C24" i="14"/>
  <c r="G7" i="14" a="1"/>
  <c r="F7" i="14" a="1"/>
  <c r="E7" i="14" a="1"/>
  <c r="D7" i="14" a="1"/>
  <c r="C7" i="14" a="1"/>
  <c r="B7" i="14" a="1"/>
  <c r="A7" i="14" a="1"/>
  <c r="B38" i="9"/>
  <c r="B43" i="9"/>
  <c r="B42" i="9"/>
  <c r="B41" i="9"/>
  <c r="B40" i="9"/>
  <c r="B39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2" i="9"/>
  <c r="B11" i="9"/>
  <c r="B10" i="9"/>
  <c r="B9" i="9"/>
  <c r="B8" i="9"/>
  <c r="B7" i="9"/>
  <c r="B7" i="5"/>
  <c r="C7" i="5"/>
  <c r="D7" i="5"/>
  <c r="E7" i="5"/>
  <c r="F7" i="5"/>
  <c r="G7" i="5"/>
  <c r="H7" i="5"/>
  <c r="I7" i="5"/>
  <c r="J7" i="5"/>
  <c r="K7" i="5"/>
  <c r="L7" i="5"/>
  <c r="M7" i="5"/>
  <c r="B8" i="5"/>
  <c r="C8" i="5"/>
  <c r="D8" i="5"/>
  <c r="E8" i="5"/>
  <c r="F8" i="5"/>
  <c r="G8" i="5"/>
  <c r="H8" i="5"/>
  <c r="I8" i="5"/>
  <c r="J8" i="5"/>
  <c r="K8" i="5"/>
  <c r="L8" i="5"/>
  <c r="M8" i="5"/>
  <c r="B9" i="5"/>
  <c r="C9" i="5"/>
  <c r="D9" i="5"/>
  <c r="E9" i="5"/>
  <c r="F9" i="5"/>
  <c r="G9" i="5"/>
  <c r="H9" i="5"/>
  <c r="I9" i="5"/>
  <c r="J9" i="5"/>
  <c r="K9" i="5"/>
  <c r="L9" i="5"/>
  <c r="M9" i="5"/>
  <c r="B10" i="5"/>
  <c r="C10" i="5"/>
  <c r="D10" i="5"/>
  <c r="E10" i="5"/>
  <c r="F10" i="5"/>
  <c r="G10" i="5"/>
  <c r="H10" i="5"/>
  <c r="I10" i="5"/>
  <c r="J10" i="5"/>
  <c r="K10" i="5"/>
  <c r="L10" i="5"/>
  <c r="M10" i="5"/>
  <c r="B6" i="5"/>
  <c r="C6" i="5"/>
  <c r="D6" i="5"/>
  <c r="E6" i="5"/>
  <c r="F6" i="5"/>
  <c r="G6" i="5"/>
  <c r="H6" i="5"/>
  <c r="I6" i="5"/>
  <c r="J6" i="5"/>
  <c r="K6" i="5"/>
  <c r="L6" i="5"/>
  <c r="M6" i="5"/>
  <c r="B15" i="5"/>
  <c r="C15" i="5"/>
  <c r="D15" i="5"/>
  <c r="E15" i="5"/>
  <c r="F15" i="5"/>
  <c r="G15" i="5"/>
  <c r="H15" i="5"/>
  <c r="I15" i="5"/>
  <c r="J15" i="5"/>
  <c r="K15" i="5"/>
  <c r="L15" i="5"/>
  <c r="M15" i="5"/>
  <c r="B16" i="5"/>
  <c r="C16" i="5"/>
  <c r="D16" i="5"/>
  <c r="E16" i="5"/>
  <c r="F16" i="5"/>
  <c r="G16" i="5"/>
  <c r="H16" i="5"/>
  <c r="I16" i="5"/>
  <c r="J16" i="5"/>
  <c r="K16" i="5"/>
  <c r="L16" i="5"/>
  <c r="M16" i="5"/>
  <c r="B17" i="5"/>
  <c r="C17" i="5"/>
  <c r="D17" i="5"/>
  <c r="E17" i="5"/>
  <c r="F17" i="5"/>
  <c r="G17" i="5"/>
  <c r="H17" i="5"/>
  <c r="I17" i="5"/>
  <c r="J17" i="5"/>
  <c r="K17" i="5"/>
  <c r="L17" i="5"/>
  <c r="M17" i="5"/>
  <c r="B18" i="5"/>
  <c r="C18" i="5"/>
  <c r="D18" i="5"/>
  <c r="E18" i="5"/>
  <c r="F18" i="5"/>
  <c r="G18" i="5"/>
  <c r="H18" i="5"/>
  <c r="I18" i="5"/>
  <c r="J18" i="5"/>
  <c r="K18" i="5"/>
  <c r="L18" i="5"/>
  <c r="M18" i="5"/>
  <c r="B19" i="5"/>
  <c r="C19" i="5"/>
  <c r="D19" i="5"/>
  <c r="E19" i="5"/>
  <c r="F19" i="5"/>
  <c r="G19" i="5"/>
  <c r="H19" i="5"/>
  <c r="I19" i="5"/>
  <c r="J19" i="5"/>
  <c r="K19" i="5"/>
  <c r="L19" i="5"/>
  <c r="M19" i="5"/>
  <c r="B20" i="5"/>
  <c r="C20" i="5"/>
  <c r="D20" i="5"/>
  <c r="E20" i="5"/>
  <c r="F20" i="5"/>
  <c r="G20" i="5"/>
  <c r="H20" i="5"/>
  <c r="I20" i="5"/>
  <c r="J20" i="5"/>
  <c r="K20" i="5"/>
  <c r="L20" i="5"/>
  <c r="M20" i="5"/>
  <c r="B21" i="5"/>
  <c r="C21" i="5"/>
  <c r="D21" i="5"/>
  <c r="E21" i="5"/>
  <c r="F21" i="5"/>
  <c r="G21" i="5"/>
  <c r="H21" i="5"/>
  <c r="I21" i="5"/>
  <c r="J21" i="5"/>
  <c r="K21" i="5"/>
  <c r="L21" i="5"/>
  <c r="M21" i="5"/>
  <c r="B22" i="5"/>
  <c r="C22" i="5"/>
  <c r="D22" i="5"/>
  <c r="E22" i="5"/>
  <c r="F22" i="5"/>
  <c r="G22" i="5"/>
  <c r="H22" i="5"/>
  <c r="I22" i="5"/>
  <c r="J22" i="5"/>
  <c r="K22" i="5"/>
  <c r="L22" i="5"/>
  <c r="M22" i="5"/>
  <c r="B23" i="5"/>
  <c r="C23" i="5"/>
  <c r="D23" i="5"/>
  <c r="E23" i="5"/>
  <c r="F23" i="5"/>
  <c r="G23" i="5"/>
  <c r="H23" i="5"/>
  <c r="I23" i="5"/>
  <c r="J23" i="5"/>
  <c r="K23" i="5"/>
  <c r="L23" i="5"/>
  <c r="M23" i="5"/>
  <c r="B24" i="5"/>
  <c r="C24" i="5"/>
  <c r="D24" i="5"/>
  <c r="E24" i="5"/>
  <c r="F24" i="5"/>
  <c r="G24" i="5"/>
  <c r="H24" i="5"/>
  <c r="I24" i="5"/>
  <c r="J24" i="5"/>
  <c r="K24" i="5"/>
  <c r="L24" i="5"/>
  <c r="M24" i="5"/>
  <c r="B25" i="5"/>
  <c r="C25" i="5"/>
  <c r="D25" i="5"/>
  <c r="E25" i="5"/>
  <c r="F25" i="5"/>
  <c r="G25" i="5"/>
  <c r="H25" i="5"/>
  <c r="I25" i="5"/>
  <c r="J25" i="5"/>
  <c r="K25" i="5"/>
  <c r="L25" i="5"/>
  <c r="M25" i="5"/>
  <c r="B26" i="5"/>
  <c r="C26" i="5"/>
  <c r="D26" i="5"/>
  <c r="E26" i="5"/>
  <c r="F26" i="5"/>
  <c r="G26" i="5"/>
  <c r="H26" i="5"/>
  <c r="I26" i="5"/>
  <c r="J26" i="5"/>
  <c r="K26" i="5"/>
  <c r="L26" i="5"/>
  <c r="M26" i="5"/>
  <c r="B27" i="5"/>
  <c r="C27" i="5"/>
  <c r="D27" i="5"/>
  <c r="E27" i="5"/>
  <c r="F27" i="5"/>
  <c r="G27" i="5"/>
  <c r="H27" i="5"/>
  <c r="I27" i="5"/>
  <c r="J27" i="5"/>
  <c r="K27" i="5"/>
  <c r="L27" i="5"/>
  <c r="M27" i="5"/>
  <c r="B28" i="5"/>
  <c r="C28" i="5"/>
  <c r="D28" i="5"/>
  <c r="E28" i="5"/>
  <c r="F28" i="5"/>
  <c r="G28" i="5"/>
  <c r="H28" i="5"/>
  <c r="I28" i="5"/>
  <c r="J28" i="5"/>
  <c r="K28" i="5"/>
  <c r="L28" i="5"/>
  <c r="M28" i="5"/>
  <c r="B29" i="5"/>
  <c r="C29" i="5"/>
  <c r="D29" i="5"/>
  <c r="E29" i="5"/>
  <c r="F29" i="5"/>
  <c r="G29" i="5"/>
  <c r="H29" i="5"/>
  <c r="I29" i="5"/>
  <c r="J29" i="5"/>
  <c r="K29" i="5"/>
  <c r="L29" i="5"/>
  <c r="M29" i="5"/>
  <c r="B30" i="5"/>
  <c r="C30" i="5"/>
  <c r="D30" i="5"/>
  <c r="E30" i="5"/>
  <c r="F30" i="5"/>
  <c r="G30" i="5"/>
  <c r="H30" i="5"/>
  <c r="I30" i="5"/>
  <c r="J30" i="5"/>
  <c r="K30" i="5"/>
  <c r="L30" i="5"/>
  <c r="M30" i="5"/>
  <c r="B31" i="5"/>
  <c r="C31" i="5"/>
  <c r="D31" i="5"/>
  <c r="E31" i="5"/>
  <c r="F31" i="5"/>
  <c r="G31" i="5"/>
  <c r="H31" i="5"/>
  <c r="I31" i="5"/>
  <c r="J31" i="5"/>
  <c r="K31" i="5"/>
  <c r="L31" i="5"/>
  <c r="M31" i="5"/>
  <c r="B32" i="5"/>
  <c r="C32" i="5"/>
  <c r="D32" i="5"/>
  <c r="E32" i="5"/>
  <c r="F32" i="5"/>
  <c r="G32" i="5"/>
  <c r="H32" i="5"/>
  <c r="I32" i="5"/>
  <c r="J32" i="5"/>
  <c r="K32" i="5"/>
  <c r="L32" i="5"/>
  <c r="M32" i="5"/>
  <c r="B33" i="5"/>
  <c r="C33" i="5"/>
  <c r="D33" i="5"/>
  <c r="E33" i="5"/>
  <c r="F33" i="5"/>
  <c r="G33" i="5"/>
  <c r="H33" i="5"/>
  <c r="I33" i="5"/>
  <c r="J33" i="5"/>
  <c r="K33" i="5"/>
  <c r="L33" i="5"/>
  <c r="M33" i="5"/>
  <c r="B34" i="5"/>
  <c r="C34" i="5"/>
  <c r="D34" i="5"/>
  <c r="E34" i="5"/>
  <c r="F34" i="5"/>
  <c r="G34" i="5"/>
  <c r="H34" i="5"/>
  <c r="I34" i="5"/>
  <c r="J34" i="5"/>
  <c r="K34" i="5"/>
  <c r="L34" i="5"/>
  <c r="M34" i="5"/>
  <c r="B35" i="5"/>
  <c r="C35" i="5"/>
  <c r="D35" i="5"/>
  <c r="E35" i="5"/>
  <c r="F35" i="5"/>
  <c r="G35" i="5"/>
  <c r="H35" i="5"/>
  <c r="I35" i="5"/>
  <c r="J35" i="5"/>
  <c r="K35" i="5"/>
  <c r="L35" i="5"/>
  <c r="M35" i="5"/>
  <c r="E14" i="5"/>
  <c r="F14" i="5"/>
  <c r="G14" i="5"/>
  <c r="H14" i="5"/>
  <c r="I14" i="5"/>
  <c r="J14" i="5"/>
  <c r="K14" i="5"/>
  <c r="L14" i="5"/>
  <c r="M14" i="5"/>
  <c r="B14" i="5"/>
  <c r="C14" i="5"/>
  <c r="D14" i="5"/>
  <c r="C42" i="5" l="1"/>
  <c r="D42" i="5"/>
  <c r="E42" i="5"/>
  <c r="F42" i="5"/>
  <c r="G42" i="5"/>
  <c r="H42" i="5"/>
  <c r="I42" i="5"/>
  <c r="J42" i="5"/>
  <c r="K42" i="5"/>
  <c r="L42" i="5"/>
  <c r="M42" i="5"/>
  <c r="B42" i="5"/>
  <c r="B12" i="7"/>
  <c r="B39" i="7"/>
  <c r="B60" i="7"/>
  <c r="B55" i="7"/>
  <c r="B47" i="7"/>
  <c r="B18" i="7"/>
  <c r="N40" i="5"/>
  <c r="N39" i="5"/>
  <c r="N38" i="5"/>
  <c r="D40" i="9"/>
  <c r="D36" i="9"/>
  <c r="E34" i="9"/>
  <c r="E33" i="9"/>
  <c r="D32" i="9"/>
  <c r="D31" i="9"/>
  <c r="D30" i="9"/>
  <c r="D29" i="9"/>
  <c r="D28" i="9"/>
  <c r="E27" i="9"/>
  <c r="E26" i="9"/>
  <c r="E25" i="9"/>
  <c r="E24" i="9"/>
  <c r="E23" i="9"/>
  <c r="E22" i="9"/>
  <c r="D22" i="9"/>
  <c r="D21" i="9"/>
  <c r="E19" i="9"/>
  <c r="D19" i="9"/>
  <c r="E17" i="9"/>
  <c r="D17" i="9"/>
  <c r="G16" i="9" a="1"/>
  <c r="E42" i="9"/>
  <c r="D42" i="9"/>
  <c r="E41" i="9"/>
  <c r="D41" i="9"/>
  <c r="E40" i="9"/>
  <c r="E39" i="9"/>
  <c r="D39" i="9"/>
  <c r="E38" i="9"/>
  <c r="D38" i="9"/>
  <c r="E37" i="9"/>
  <c r="D37" i="9"/>
  <c r="E36" i="9"/>
  <c r="E35" i="9"/>
  <c r="D35" i="9"/>
  <c r="D34" i="9"/>
  <c r="D33" i="9"/>
  <c r="E32" i="9"/>
  <c r="E31" i="9"/>
  <c r="E30" i="9"/>
  <c r="E29" i="9"/>
  <c r="E28" i="9"/>
  <c r="D27" i="9"/>
  <c r="D26" i="9"/>
  <c r="D25" i="9"/>
  <c r="D24" i="9"/>
  <c r="D23" i="9"/>
  <c r="E21" i="9"/>
  <c r="E20" i="9"/>
  <c r="D20" i="9"/>
  <c r="E18" i="9"/>
  <c r="D18" i="9"/>
  <c r="C27" i="14"/>
  <c r="H16" i="9" a="1"/>
  <c r="E12" i="9"/>
  <c r="E8" i="9"/>
  <c r="D8" i="9"/>
  <c r="E7" i="9"/>
  <c r="D7" i="9"/>
  <c r="D12" i="9"/>
  <c r="D10" i="9"/>
  <c r="E9" i="9"/>
  <c r="D9" i="9"/>
  <c r="G7" i="9" a="1"/>
  <c r="H7" i="9" a="1"/>
  <c r="E10" i="9"/>
  <c r="E11" i="9"/>
  <c r="D11" i="9"/>
  <c r="A32" i="14"/>
  <c r="G7" i="14"/>
  <c r="F7" i="14"/>
  <c r="E7" i="14"/>
  <c r="D7" i="14"/>
  <c r="C7" i="14"/>
  <c r="B7" i="14"/>
  <c r="A7" i="14"/>
  <c r="B13" i="9"/>
  <c r="B44" i="9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M11" i="5"/>
  <c r="L11" i="5"/>
  <c r="K11" i="5"/>
  <c r="J11" i="5"/>
  <c r="I11" i="5"/>
  <c r="H11" i="5"/>
  <c r="G11" i="5"/>
  <c r="F11" i="5"/>
  <c r="E11" i="5"/>
  <c r="D11" i="5"/>
  <c r="C11" i="5"/>
  <c r="B11" i="5"/>
  <c r="N10" i="5"/>
  <c r="N9" i="5"/>
  <c r="N8" i="5"/>
  <c r="N7" i="5"/>
  <c r="N6" i="5"/>
  <c r="N42" i="5" l="1"/>
  <c r="B62" i="7"/>
  <c r="B64" i="7" s="1"/>
  <c r="G16" i="9"/>
  <c r="H16" i="9"/>
  <c r="B32" i="14"/>
  <c r="C32" i="14"/>
  <c r="H7" i="9"/>
  <c r="G7" i="9"/>
  <c r="E44" i="5"/>
  <c r="D44" i="5"/>
  <c r="C44" i="5"/>
  <c r="I44" i="5"/>
  <c r="H44" i="5"/>
  <c r="G44" i="5"/>
  <c r="K44" i="5"/>
  <c r="J44" i="5"/>
  <c r="L44" i="5"/>
  <c r="F44" i="5"/>
  <c r="M44" i="5"/>
  <c r="B44" i="5"/>
  <c r="N11" i="5"/>
  <c r="N44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<sst xmlns="http://schemas.openxmlformats.org/spreadsheetml/2006/main" count="433" uniqueCount="218">
  <si>
    <t>Customers</t>
  </si>
  <si>
    <t>Suppliers</t>
  </si>
  <si>
    <t>Chart of Accounts</t>
  </si>
  <si>
    <t>Car and truck expenses</t>
  </si>
  <si>
    <t>Commissions and fees</t>
  </si>
  <si>
    <t>Contract labor</t>
  </si>
  <si>
    <t>Deductible meals</t>
  </si>
  <si>
    <t>Depletion (do not deduct oil and gas depletion)</t>
  </si>
  <si>
    <t>Depreciation</t>
  </si>
  <si>
    <t>Insurance</t>
  </si>
  <si>
    <t>Legal and professional services</t>
  </si>
  <si>
    <t>Mortgage</t>
  </si>
  <si>
    <t>Office expense</t>
  </si>
  <si>
    <t>Other business property</t>
  </si>
  <si>
    <t>Other expenses</t>
  </si>
  <si>
    <t>Pension, profit-sharing, etc., plans</t>
  </si>
  <si>
    <t>Rent or lease</t>
  </si>
  <si>
    <t>Repairs and maintenance</t>
  </si>
  <si>
    <t>Supplies</t>
  </si>
  <si>
    <t>Travel</t>
  </si>
  <si>
    <t>Utilities</t>
  </si>
  <si>
    <t>Wages</t>
  </si>
  <si>
    <t>Monto</t>
  </si>
  <si>
    <t>Categoría</t>
  </si>
  <si>
    <t>Date</t>
  </si>
  <si>
    <t>Document Number</t>
  </si>
  <si>
    <t>Category</t>
  </si>
  <si>
    <t>Amount</t>
  </si>
  <si>
    <t>Office Depot</t>
  </si>
  <si>
    <t>Description</t>
  </si>
  <si>
    <t>Customer</t>
  </si>
  <si>
    <t>Payment Method</t>
  </si>
  <si>
    <t>Status</t>
  </si>
  <si>
    <t>Notes</t>
  </si>
  <si>
    <t>Other income</t>
  </si>
  <si>
    <t>Supplier</t>
  </si>
  <si>
    <t>Account</t>
  </si>
  <si>
    <t>PROFIT &amp; LOSS STATEMENT</t>
  </si>
  <si>
    <t>Fiscal Year 2026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</si>
  <si>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</si>
  <si>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</si>
  <si>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</si>
  <si>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</si>
  <si>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</si>
  <si>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</si>
  <si>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</si>
  <si>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</si>
  <si>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</si>
  <si>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</si>
  <si>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</si>
  <si>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</si>
  <si>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YTD Total</t>
  </si>
  <si>
    <t>REVENUE / INGRESOS</t>
  </si>
  <si>
    <t>Gross receipts or sales</t>
  </si>
  <si>
    <t>Returns and allowances</t>
  </si>
  <si>
    <t>Interest income</t>
  </si>
  <si>
    <t>Dividend income</t>
  </si>
  <si>
    <t>Capital gains</t>
  </si>
  <si>
    <t>TOTAL REVENUE</t>
  </si>
  <si>
    <t>EXPENSES / GASTOS</t>
  </si>
  <si>
    <t>Advertising</t>
  </si>
  <si>
    <t>Bad debts</t>
  </si>
  <si>
    <t>Compensation of officers</t>
  </si>
  <si>
    <t>Cost of goods sold</t>
  </si>
  <si>
    <t>Employee benefit programs</t>
  </si>
  <si>
    <t>Interest</t>
  </si>
  <si>
    <t>Salaries and wages</t>
  </si>
  <si>
    <t>Taxes and licenses</t>
  </si>
  <si>
    <t>TOTAL EXPENSES</t>
  </si>
  <si>
    <t>NET INCOME / UTILIDAD NETA</t>
  </si>
  <si>
    <t>Revenue Categories</t>
  </si>
  <si>
    <t>Owner's Distribution</t>
  </si>
  <si>
    <t>January through December 2026</t>
  </si>
  <si>
    <t>NET PROFIT</t>
  </si>
  <si>
    <t>DATE: _____________________________</t>
  </si>
  <si>
    <t>SIGNATURE: _____________________________</t>
  </si>
  <si>
    <t>DASHBOARD - ANÁLISIS DE INGRESOS Y GASTOS</t>
  </si>
  <si>
    <t>INGRESOS POR CATEGORÍA</t>
  </si>
  <si>
    <t>TOTAL</t>
  </si>
  <si>
    <t>GASTOS POR CATEGORÍA</t>
  </si>
  <si>
    <t>Deductions</t>
  </si>
  <si>
    <t>Energy efficient commercial buildings deduction</t>
  </si>
  <si>
    <t>Less returns and allowances</t>
  </si>
  <si>
    <t>Other deductions</t>
  </si>
  <si>
    <t>Salaries and wages (less employment credits)</t>
  </si>
  <si>
    <t>Vehicles, machinery, and equipment</t>
  </si>
  <si>
    <t>Deposit</t>
  </si>
  <si>
    <t>Amazon Prime</t>
  </si>
  <si>
    <t>Suscriptions</t>
  </si>
  <si>
    <t>Suscription</t>
  </si>
  <si>
    <t>INGRESOS (Solo con datos)</t>
  </si>
  <si>
    <t>GASTOS (Solo con datos)</t>
  </si>
  <si>
    <t>Gráfico Ingresos</t>
  </si>
  <si>
    <t>Gráfico Gastos</t>
  </si>
  <si>
    <t>CONTRACT LABOR PAYMENTS / PAGOS A CONTRATISTAS</t>
  </si>
  <si>
    <t>Document #</t>
  </si>
  <si>
    <t>Contractor Name</t>
  </si>
  <si>
    <t>SUMMARY / RESUMEN</t>
  </si>
  <si>
    <t>Total Contract Labor (from Expenses):</t>
  </si>
  <si>
    <t>GRAND TOTAL:</t>
  </si>
  <si>
    <t>PAYMENTS BY CONTRACTOR / PAGOS POR CONTRATISTA</t>
  </si>
  <si>
    <t>Total Paid</t>
  </si>
  <si>
    <t># Payments</t>
  </si>
  <si>
    <t>(Datos extraídos automáticamente de Expenses)</t>
  </si>
  <si>
    <t>📝 FUNCIONAMIENTO AUTOMÁTICO:</t>
  </si>
  <si>
    <t>1. Los datos se extraen automáticamente de la hoja Expenses cuando la categoría es 'Contract labor'</t>
  </si>
  <si>
    <t>2. La sección 'Payments by Contractor' muestra el resumen por cada contratista</t>
  </si>
  <si>
    <t>3. Para agregar nuevos pagos, ve a la hoja Expenses y usa la categoría 'Contract labor'</t>
  </si>
  <si>
    <t>4. Todo se actualiza automáticamente con fórmulas FILTER, UNIQUE y SUMIFS</t>
  </si>
  <si>
    <t>Tmobile Auto pay</t>
  </si>
  <si>
    <t>Local owner</t>
  </si>
  <si>
    <t>Loan - Principal</t>
  </si>
  <si>
    <t>Amazon</t>
  </si>
  <si>
    <t>Type</t>
  </si>
  <si>
    <t>Operating</t>
  </si>
  <si>
    <t>Financial</t>
  </si>
  <si>
    <t>Payroll</t>
  </si>
  <si>
    <t>COGS</t>
  </si>
  <si>
    <t>Taxes</t>
  </si>
  <si>
    <t>Non-Deductible</t>
  </si>
  <si>
    <t>COST OF GOODS SOLD (COGS)</t>
  </si>
  <si>
    <t>TOTAL COGS</t>
  </si>
  <si>
    <t>OPERATING EXPENSES</t>
  </si>
  <si>
    <t>TOTAL OPERATING</t>
  </si>
  <si>
    <t>PAYROLL EXPENSES</t>
  </si>
  <si>
    <t>TOTAL PAYROLL</t>
  </si>
  <si>
    <t>FINANCIAL EXPENSES</t>
  </si>
  <si>
    <t>TOTAL FINANCIAL</t>
  </si>
  <si>
    <t>TAXES</t>
  </si>
  <si>
    <t>TOTAL TAXES</t>
  </si>
  <si>
    <t>TOTAL DEDUCTIBLE EXPENSES</t>
  </si>
  <si>
    <t>NON-DEDUCTIBLE</t>
  </si>
  <si>
    <t>Account #</t>
  </si>
  <si>
    <t>Account Name</t>
  </si>
  <si>
    <t>Account Type</t>
  </si>
  <si>
    <t>Sub-Type</t>
  </si>
  <si>
    <t>Balance</t>
  </si>
  <si>
    <t>Cash</t>
  </si>
  <si>
    <t>Asset</t>
  </si>
  <si>
    <t>Current Asset</t>
  </si>
  <si>
    <t>Efectivo en caja y bancos</t>
  </si>
  <si>
    <t>Checking Account</t>
  </si>
  <si>
    <t>Cuenta corriente</t>
  </si>
  <si>
    <t>Savings Account</t>
  </si>
  <si>
    <t>Cuenta de ahorros</t>
  </si>
  <si>
    <t>Accounts Receivable</t>
  </si>
  <si>
    <t>Cuentas por cobrar</t>
  </si>
  <si>
    <t>Inventory</t>
  </si>
  <si>
    <t>Inventario</t>
  </si>
  <si>
    <t>Equipment</t>
  </si>
  <si>
    <t>Fixed Asset</t>
  </si>
  <si>
    <t>Equipo</t>
  </si>
  <si>
    <t>Accumulated Depreciation</t>
  </si>
  <si>
    <t>Depreciación acumulada</t>
  </si>
  <si>
    <t>Accounts Payable</t>
  </si>
  <si>
    <t>Liability</t>
  </si>
  <si>
    <t>Current Liability</t>
  </si>
  <si>
    <t>Cuentas por pagar</t>
  </si>
  <si>
    <t>Short-term Debt</t>
  </si>
  <si>
    <t>Deuda a corto plazo</t>
  </si>
  <si>
    <t>Long-term Debt</t>
  </si>
  <si>
    <t>Long-term Liability</t>
  </si>
  <si>
    <t>Deuda a largo plazo</t>
  </si>
  <si>
    <t>Owner's Capital</t>
  </si>
  <si>
    <t>Equity</t>
  </si>
  <si>
    <t>Owner's Equity</t>
  </si>
  <si>
    <t>Capital del propietario</t>
  </si>
  <si>
    <t>Retained Earnings</t>
  </si>
  <si>
    <t>Ganancias retenidas</t>
  </si>
  <si>
    <t>Sales Revenue</t>
  </si>
  <si>
    <t>Income</t>
  </si>
  <si>
    <t>Operating Income</t>
  </si>
  <si>
    <t>Ingresos por ventas</t>
  </si>
  <si>
    <t>Service Revenue</t>
  </si>
  <si>
    <t>Ingresos por servicios</t>
  </si>
  <si>
    <t>Interest Income</t>
  </si>
  <si>
    <t>Other Income</t>
  </si>
  <si>
    <t>Ingresos por intereses</t>
  </si>
  <si>
    <t>Cost of Goods Sold</t>
  </si>
  <si>
    <t>Expense</t>
  </si>
  <si>
    <t>Cost of Sales</t>
  </si>
  <si>
    <t>Costo de bienes vendidos</t>
  </si>
  <si>
    <t>Salaries &amp; Wages</t>
  </si>
  <si>
    <t>Operating Expense</t>
  </si>
  <si>
    <t>Sueldos y salarios</t>
  </si>
  <si>
    <t>Rent Expense</t>
  </si>
  <si>
    <t>Gasto de alquiler</t>
  </si>
  <si>
    <t>Utilities Expense</t>
  </si>
  <si>
    <t>Gasto de servicios</t>
  </si>
  <si>
    <t>Office Supplies</t>
  </si>
  <si>
    <t>Suministros de oficina</t>
  </si>
  <si>
    <t>Marketing Expense</t>
  </si>
  <si>
    <t>Gasto de marketing</t>
  </si>
  <si>
    <t>Depreciation Expense</t>
  </si>
  <si>
    <t>Gasto de depreciación</t>
  </si>
  <si>
    <t>Interest Expense</t>
  </si>
  <si>
    <t>Financing Expense</t>
  </si>
  <si>
    <t>Gasto de intereses</t>
  </si>
  <si>
    <t>Entry #</t>
  </si>
  <si>
    <t>Debit</t>
  </si>
  <si>
    <t>Credit</t>
  </si>
  <si>
    <t>Reference</t>
  </si>
  <si>
    <t>Instructions:</t>
  </si>
  <si>
    <t>Trans #</t>
  </si>
  <si>
    <t>This is auto-populated from Journal Entry</t>
  </si>
  <si>
    <t>Customer ID</t>
  </si>
  <si>
    <t>Name</t>
  </si>
  <si>
    <t>Email</t>
  </si>
  <si>
    <t>Phone</t>
  </si>
  <si>
    <t>Address</t>
  </si>
  <si>
    <t>City</t>
  </si>
  <si>
    <t>Balance Due</t>
  </si>
  <si>
    <t>Credit Limit</t>
  </si>
  <si>
    <t>Vendor ID</t>
  </si>
  <si>
    <t>Payment Terms</t>
  </si>
  <si>
    <t>Trial Balance</t>
  </si>
  <si>
    <t>TOTALS</t>
  </si>
  <si>
    <t>INCOME STATEMENT - REVENUE SECTION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</si>
</sst>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mm/dd/yyyy"/>
    <numFmt numFmtId="165" formatCode="&quot;$&quot;#,##0.00"/>
    <numFmt numFmtId="170" formatCode="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6"/>
      <color rgb="FF1F4E79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rgb="FF922B2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8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5D6D7E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5B2C6F"/>
      <name val="Calibri"/>
      <family val="2"/>
      <scheme val="minor"/>
    </font>
    <font>
      <sz val="11"/>
      <color rgb="FF806000"/>
      <name val="Calibri"/>
      <family val="2"/>
      <scheme val="minor"/>
    </font>
    <font>
      <sz val="11"/>
      <color rgb="FFC65911"/>
      <name val="Calibri"/>
      <family val="2"/>
      <scheme val="minor"/>
    </font>
    <font>
      <b/>
      <sz val="11"/>
      <color rgb="FF806000"/>
      <name val="Calibri"/>
      <family val="2"/>
      <scheme val="minor"/>
    </font>
    <font>
      <b/>
      <sz val="11"/>
      <color rgb="FF5B2C6F"/>
      <name val="Calibri"/>
      <family val="2"/>
      <scheme val="minor"/>
    </font>
    <font>
      <b/>
      <sz val="11"/>
      <color rgb="FFC65911"/>
      <name val="Calibri"/>
      <family val="2"/>
      <scheme val="minor"/>
    </font>
    <font>
      <sz val="9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AED6F1"/>
        <bgColor indexed="64"/>
      </patternFill>
    </fill>
    <fill>
      <patternFill patternType="solid">
        <fgColor rgb="FFF5B7B1"/>
        <bgColor indexed="64"/>
      </patternFill>
    </fill>
    <fill>
      <patternFill patternType="solid">
        <fgColor rgb="FF2ECC71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E74C3C"/>
        <bgColor indexed="64"/>
      </patternFill>
    </fill>
    <fill>
      <patternFill patternType="solid">
        <fgColor rgb="FF3498D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9B59B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85C1E9"/>
        <bgColor indexed="64"/>
      </patternFill>
    </fill>
    <fill>
      <patternFill patternType="solid">
        <fgColor rgb="FFD5DBDB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D5F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6B6B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9E1F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3" fillId="0" borderId="0" xfId="0" applyFont="1"/>
    <xf numFmtId="0" fontId="1" fillId="0" borderId="0" xfId="0" applyFont="1" applyAlignment="1">
      <alignment vertical="center"/>
    </xf>
    <xf numFmtId="0" fontId="4" fillId="0" borderId="0" xfId="0" applyFont="1"/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165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5" fillId="4" borderId="0" xfId="0" applyFont="1" applyFill="1" applyAlignment="1">
      <alignment horizontal="center"/>
    </xf>
    <xf numFmtId="0" fontId="10" fillId="5" borderId="0" xfId="0" applyFont="1" applyFill="1" applyAlignment="1">
      <alignment horizontal="left"/>
    </xf>
    <xf numFmtId="165" fontId="10" fillId="5" borderId="0" xfId="0" applyNumberFormat="1" applyFont="1" applyFill="1" applyAlignment="1">
      <alignment horizontal="right"/>
    </xf>
    <xf numFmtId="0" fontId="11" fillId="6" borderId="0" xfId="0" applyFont="1" applyFill="1" applyAlignment="1">
      <alignment horizontal="left"/>
    </xf>
    <xf numFmtId="165" fontId="11" fillId="6" borderId="0" xfId="0" applyNumberFormat="1" applyFont="1" applyFill="1" applyAlignment="1">
      <alignment horizontal="right"/>
    </xf>
    <xf numFmtId="0" fontId="2" fillId="7" borderId="1" xfId="0" applyFont="1" applyFill="1" applyBorder="1" applyAlignment="1">
      <alignment horizontal="left"/>
    </xf>
    <xf numFmtId="165" fontId="2" fillId="7" borderId="1" xfId="0" applyNumberFormat="1" applyFont="1" applyFill="1" applyBorder="1" applyAlignment="1">
      <alignment horizontal="right"/>
    </xf>
    <xf numFmtId="0" fontId="2" fillId="8" borderId="1" xfId="0" applyFont="1" applyFill="1" applyBorder="1" applyAlignment="1">
      <alignment horizontal="left"/>
    </xf>
    <xf numFmtId="165" fontId="2" fillId="8" borderId="1" xfId="0" applyNumberFormat="1" applyFont="1" applyFill="1" applyBorder="1" applyAlignment="1">
      <alignment horizontal="right"/>
    </xf>
    <xf numFmtId="0" fontId="7" fillId="9" borderId="2" xfId="0" applyFont="1" applyFill="1" applyBorder="1" applyAlignment="1">
      <alignment horizontal="left"/>
    </xf>
    <xf numFmtId="165" fontId="7" fillId="9" borderId="2" xfId="0" applyNumberFormat="1" applyFont="1" applyFill="1" applyBorder="1" applyAlignment="1">
      <alignment horizontal="right"/>
    </xf>
    <xf numFmtId="0" fontId="6" fillId="10" borderId="0" xfId="0" applyFont="1" applyFill="1"/>
    <xf numFmtId="0" fontId="5" fillId="12" borderId="0" xfId="0" applyFont="1" applyFill="1"/>
    <xf numFmtId="165" fontId="5" fillId="12" borderId="0" xfId="0" applyNumberFormat="1" applyFont="1" applyFill="1"/>
    <xf numFmtId="0" fontId="5" fillId="13" borderId="0" xfId="0" applyFont="1" applyFill="1" applyAlignment="1">
      <alignment horizontal="center"/>
    </xf>
    <xf numFmtId="0" fontId="5" fillId="14" borderId="0" xfId="0" applyFont="1" applyFill="1" applyAlignment="1">
      <alignment horizontal="center"/>
    </xf>
    <xf numFmtId="0" fontId="5" fillId="15" borderId="0" xfId="0" applyFont="1" applyFill="1" applyAlignment="1">
      <alignment horizontal="center"/>
    </xf>
    <xf numFmtId="0" fontId="4" fillId="0" borderId="0" xfId="0" applyFont="1" applyAlignment="1">
      <alignment vertical="center"/>
    </xf>
    <xf numFmtId="44" fontId="0" fillId="0" borderId="0" xfId="0" applyNumberFormat="1"/>
    <xf numFmtId="164" fontId="5" fillId="12" borderId="0" xfId="0" applyNumberFormat="1" applyFont="1" applyFill="1"/>
    <xf numFmtId="0" fontId="5" fillId="2" borderId="3" xfId="0" applyFont="1" applyFill="1" applyBorder="1"/>
    <xf numFmtId="0" fontId="0" fillId="0" borderId="3" xfId="0" applyBorder="1"/>
    <xf numFmtId="165" fontId="0" fillId="0" borderId="3" xfId="0" applyNumberFormat="1" applyBorder="1"/>
    <xf numFmtId="0" fontId="2" fillId="16" borderId="3" xfId="0" applyFont="1" applyFill="1" applyBorder="1"/>
    <xf numFmtId="165" fontId="2" fillId="16" borderId="3" xfId="0" applyNumberFormat="1" applyFont="1" applyFill="1" applyBorder="1"/>
    <xf numFmtId="0" fontId="2" fillId="0" borderId="0" xfId="0" applyFont="1"/>
    <xf numFmtId="165" fontId="2" fillId="0" borderId="0" xfId="0" applyNumberFormat="1" applyFont="1"/>
    <xf numFmtId="0" fontId="2" fillId="18" borderId="0" xfId="0" applyFont="1" applyFill="1"/>
    <xf numFmtId="165" fontId="2" fillId="18" borderId="0" xfId="0" applyNumberFormat="1" applyFont="1" applyFill="1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5" fillId="11" borderId="0" xfId="0" applyNumberFormat="1" applyFont="1" applyFill="1"/>
    <xf numFmtId="0" fontId="15" fillId="11" borderId="0" xfId="0" applyFont="1" applyFill="1"/>
    <xf numFmtId="165" fontId="15" fillId="11" borderId="0" xfId="0" applyNumberFormat="1" applyFont="1" applyFill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/>
    <xf numFmtId="0" fontId="0" fillId="0" borderId="0" xfId="0" applyAlignment="1">
      <alignment vertical="center"/>
    </xf>
    <xf numFmtId="0" fontId="5" fillId="2" borderId="0" xfId="0" applyFont="1" applyFill="1"/>
    <xf numFmtId="0" fontId="2" fillId="19" borderId="0" xfId="0" applyFont="1" applyFill="1"/>
    <xf numFmtId="0" fontId="5" fillId="20" borderId="0" xfId="0" applyFont="1" applyFill="1"/>
    <xf numFmtId="0" fontId="2" fillId="21" borderId="0" xfId="0" applyFont="1" applyFill="1"/>
    <xf numFmtId="0" fontId="5" fillId="17" borderId="0" xfId="0" applyFont="1" applyFill="1" applyAlignment="1">
      <alignment horizontal="center"/>
    </xf>
    <xf numFmtId="165" fontId="2" fillId="5" borderId="0" xfId="0" applyNumberFormat="1" applyFont="1" applyFill="1"/>
    <xf numFmtId="165" fontId="6" fillId="7" borderId="0" xfId="0" applyNumberFormat="1" applyFont="1" applyFill="1"/>
    <xf numFmtId="0" fontId="2" fillId="23" borderId="0" xfId="0" applyFont="1" applyFill="1"/>
    <xf numFmtId="0" fontId="17" fillId="0" borderId="0" xfId="0" applyFont="1"/>
    <xf numFmtId="0" fontId="19" fillId="25" borderId="0" xfId="0" applyFont="1" applyFill="1"/>
    <xf numFmtId="0" fontId="2" fillId="25" borderId="7" xfId="0" applyFont="1" applyFill="1" applyBorder="1"/>
    <xf numFmtId="165" fontId="2" fillId="25" borderId="7" xfId="0" applyNumberFormat="1" applyFont="1" applyFill="1" applyBorder="1" applyAlignment="1">
      <alignment horizontal="right"/>
    </xf>
    <xf numFmtId="0" fontId="7" fillId="2" borderId="0" xfId="0" applyFont="1" applyFill="1"/>
    <xf numFmtId="0" fontId="10" fillId="26" borderId="0" xfId="0" applyFont="1" applyFill="1"/>
    <xf numFmtId="0" fontId="24" fillId="28" borderId="0" xfId="0" applyFont="1" applyFill="1"/>
    <xf numFmtId="0" fontId="25" fillId="27" borderId="0" xfId="0" applyFont="1" applyFill="1"/>
    <xf numFmtId="0" fontId="26" fillId="3" borderId="0" xfId="0" applyFont="1" applyFill="1"/>
    <xf numFmtId="0" fontId="2" fillId="29" borderId="0" xfId="0" applyFont="1" applyFill="1"/>
    <xf numFmtId="0" fontId="5" fillId="30" borderId="0" xfId="0" applyFont="1" applyFill="1"/>
    <xf numFmtId="165" fontId="5" fillId="30" borderId="0" xfId="0" applyNumberFormat="1" applyFont="1" applyFill="1"/>
    <xf numFmtId="165" fontId="14" fillId="25" borderId="0" xfId="0" applyNumberFormat="1" applyFont="1" applyFill="1"/>
    <xf numFmtId="165" fontId="20" fillId="26" borderId="0" xfId="0" applyNumberFormat="1" applyFont="1" applyFill="1"/>
    <xf numFmtId="165" fontId="22" fillId="28" borderId="0" xfId="0" applyNumberFormat="1" applyFont="1" applyFill="1"/>
    <xf numFmtId="165" fontId="21" fillId="27" borderId="0" xfId="0" applyNumberFormat="1" applyFont="1" applyFill="1"/>
    <xf numFmtId="165" fontId="23" fillId="3" borderId="0" xfId="0" applyNumberFormat="1" applyFont="1" applyFill="1"/>
    <xf numFmtId="165" fontId="2" fillId="29" borderId="0" xfId="0" applyNumberFormat="1" applyFont="1" applyFill="1"/>
    <xf numFmtId="0" fontId="5" fillId="31" borderId="0" xfId="0" applyFont="1" applyFill="1" applyAlignment="1">
      <alignment horizontal="left"/>
    </xf>
    <xf numFmtId="165" fontId="5" fillId="31" borderId="0" xfId="0" applyNumberFormat="1" applyFont="1" applyFill="1" applyAlignment="1">
      <alignment horizontal="right"/>
    </xf>
    <xf numFmtId="0" fontId="15" fillId="4" borderId="0" xfId="0" applyFont="1" applyFill="1" applyAlignment="1">
      <alignment horizontal="center"/>
    </xf>
    <xf numFmtId="0" fontId="16" fillId="24" borderId="0" xfId="0" applyFont="1" applyFill="1" applyAlignment="1">
      <alignment horizontal="center"/>
    </xf>
    <xf numFmtId="0" fontId="19" fillId="25" borderId="0" xfId="0" applyFont="1" applyFill="1"/>
    <xf numFmtId="0" fontId="13" fillId="0" borderId="0" xfId="0" applyFont="1" applyAlignment="1">
      <alignment horizontal="center"/>
    </xf>
    <xf numFmtId="0" fontId="0" fillId="0" borderId="0" xfId="0"/>
    <xf numFmtId="0" fontId="9" fillId="0" borderId="0" xfId="0" applyFont="1" applyAlignment="1">
      <alignment horizontal="center"/>
    </xf>
    <xf numFmtId="0" fontId="12" fillId="4" borderId="0" xfId="0" applyFont="1" applyFill="1" applyAlignment="1">
      <alignment horizontal="center"/>
    </xf>
    <xf numFmtId="0" fontId="16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18" fillId="0" borderId="5" xfId="0" applyFont="1" applyBorder="1"/>
    <xf numFmtId="0" fontId="0" fillId="0" borderId="4" xfId="0" applyBorder="1"/>
    <xf numFmtId="0" fontId="0" fillId="0" borderId="6" xfId="0" applyBorder="1"/>
    <xf numFmtId="0" fontId="27" fillId="0" borderId="0" xfId="0" applyFont="1"/>
    <xf numFmtId="170" fontId="5" fillId="2" borderId="0" xfId="0" applyNumberFormat="1" applyFont="1" applyFill="1"/>
    <xf numFmtId="170" fontId="0" fillId="0" borderId="0" xfId="0" applyNumberFormat="1"/>
    <xf numFmtId="4" fontId="5" fillId="2" borderId="0" xfId="0" applyNumberFormat="1" applyFont="1" applyFill="1"/>
    <xf numFmtId="4" fontId="0" fillId="0" borderId="0" xfId="0" applyNumberFormat="1"/>
    <xf numFmtId="0" fontId="5" fillId="32" borderId="0" xfId="0" applyFont="1" applyFill="1"/>
    <xf numFmtId="164" fontId="5" fillId="32" borderId="0" xfId="0" applyNumberFormat="1" applyFont="1" applyFill="1"/>
    <xf numFmtId="4" fontId="5" fillId="32" borderId="0" xfId="0" applyNumberFormat="1" applyFont="1" applyFill="1"/>
    <xf numFmtId="0" fontId="16" fillId="33" borderId="0" xfId="0" applyFont="1" applyFill="1"/>
    <xf numFmtId="164" fontId="16" fillId="33" borderId="0" xfId="0" applyNumberFormat="1" applyFont="1" applyFill="1"/>
    <xf numFmtId="4" fontId="16" fillId="33" borderId="0" xfId="0" applyNumberFormat="1" applyFont="1" applyFill="1"/>
    <xf numFmtId="0" fontId="28" fillId="18" borderId="0" xfId="0" applyFont="1" applyFill="1"/>
    <xf numFmtId="164" fontId="28" fillId="18" borderId="0" xfId="0" applyNumberFormat="1" applyFont="1" applyFill="1"/>
    <xf numFmtId="4" fontId="28" fillId="18" borderId="0" xfId="0" applyNumberFormat="1" applyFont="1" applyFill="1"/>
    <xf numFmtId="4" fontId="5" fillId="20" borderId="0" xfId="0" applyNumberFormat="1" applyFont="1" applyFill="1"/>
    <xf numFmtId="0" fontId="29" fillId="0" borderId="0" xfId="0" applyFont="1"/>
    <xf numFmtId="0" fontId="5" fillId="34" borderId="0" xfId="0" applyFont="1" applyFill="1"/>
    <xf numFmtId="0" fontId="2" fillId="35" borderId="0" xfId="0" applyFont="1" applyFill="1"/>
    <xf numFmtId="4" fontId="5" fillId="34" borderId="0" xfId="0" applyNumberFormat="1" applyFont="1" applyFill="1"/>
    <xf numFmtId="4" fontId="2" fillId="35" borderId="0" xfId="0" applyNumberFormat="1" applyFont="1" applyFill="1"/>
  </cellXfs>
  <cellStyles count="1">
    <cellStyle name="Normal" xfId="0" builtinId="0"/>
  </cellStyles>
  <dxfs count="37">
    <dxf>
      <font>
        <color rgb="FFC00000"/>
      </font>
      <fill>
        <patternFill patternType="solid">
          <fgColor indexed="64"/>
          <bgColor rgb="FFF8CBAD"/>
        </patternFill>
      </fill>
    </dxf>
    <dxf>
      <font>
        <color rgb="FFC65911"/>
      </font>
      <fill>
        <patternFill patternType="solid">
          <fgColor indexed="64"/>
          <bgColor rgb="FFFCE4D6"/>
        </patternFill>
      </fill>
    </dxf>
    <dxf>
      <font>
        <color rgb="FF5B2C6F"/>
      </font>
      <fill>
        <patternFill patternType="solid">
          <fgColor indexed="64"/>
          <bgColor rgb="FFE2D5F1"/>
        </patternFill>
      </fill>
    </dxf>
    <dxf>
      <font>
        <color rgb="FF806000"/>
      </font>
      <fill>
        <patternFill patternType="solid">
          <fgColor indexed="64"/>
          <bgColor rgb="FFFFE699"/>
        </patternFill>
      </fill>
    </dxf>
    <dxf>
      <font>
        <color rgb="FF1F4E79"/>
      </font>
      <fill>
        <patternFill patternType="solid">
          <fgColor indexed="64"/>
          <bgColor rgb="FFBDD7E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C00000"/>
      </font>
      <fill>
        <patternFill patternType="solid">
          <fgColor indexed="64"/>
          <bgColor rgb="FFF8CBAD"/>
        </patternFill>
      </fill>
    </dxf>
    <dxf>
      <font>
        <color rgb="FFC65911"/>
      </font>
      <fill>
        <patternFill patternType="solid">
          <fgColor indexed="64"/>
          <bgColor rgb="FFFCE4D6"/>
        </patternFill>
      </fill>
    </dxf>
    <dxf>
      <font>
        <color rgb="FF5B2C6F"/>
      </font>
      <fill>
        <patternFill patternType="solid">
          <fgColor indexed="64"/>
          <bgColor rgb="FFE2D5F1"/>
        </patternFill>
      </fill>
    </dxf>
    <dxf>
      <font>
        <color rgb="FF806000"/>
      </font>
      <fill>
        <patternFill patternType="solid">
          <fgColor indexed="64"/>
          <bgColor rgb="FFFFE699"/>
        </patternFill>
      </fill>
    </dxf>
    <dxf>
      <font>
        <color rgb="FF1F4E79"/>
      </font>
      <fill>
        <patternFill patternType="solid">
          <fgColor indexed="64"/>
          <bgColor rgb="FFBDD7E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numFmt numFmtId="165" formatCode="&quot;$&quot;#,##0.00"/>
    </dxf>
    <dxf>
      <numFmt numFmtId="165" formatCode="&quot;$&quot;#,##0.0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m/dd/yyyy"/>
      <alignment horizontal="center" vertical="bottom" textRotation="0" wrapText="0" indent="0" justifyLastLine="0" shrinkToFit="0" readingOrder="0"/>
    </dxf>
    <dxf>
      <numFmt numFmtId="164" formatCode="mm/dd/yyyy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E74C3C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&quot;$&quot;#,##0.0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mm/dd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Calibri"/>
        <family val="2"/>
        <scheme val="minor"/>
      </font>
      <fill>
        <patternFill patternType="solid">
          <fgColor indexed="64"/>
          <bgColor rgb="FF27AE6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5F5E3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E67E22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3498DB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9B59B6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Ingresos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Dashboard!$H$6</c:f>
              <c:strCache>
                <c:ptCount val="1"/>
                <c:pt idx="0">
                  <c:v>Monto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8B9-4AC0-A85F-6F4B71A4A35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8B9-4AC0-A85F-6F4B71A4A35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Dashboard!$G$7:$G$8</c:f>
              <c:strCache>
                <c:ptCount val="1"/>
                <c:pt idx="0">
                  <c:v>Sin datos</c:v>
                </c:pt>
              </c:strCache>
            </c:strRef>
          </c:cat>
          <c:val>
            <c:numRef>
              <c:f>Dashboard!$H$7:$H$8</c:f>
              <c:numCache>
                <c:formatCode>General</c:formatCode>
                <c:ptCount val="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8E-45BD-B704-EAB52618B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Gastos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Dashboard!$H$15</c:f>
              <c:strCache>
                <c:ptCount val="1"/>
                <c:pt idx="0">
                  <c:v>Monto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690-41AB-A38C-86E36EC235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690-41AB-A38C-86E36EC235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690-41AB-A38C-86E36EC235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690-41AB-A38C-86E36EC235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690-41AB-A38C-86E36EC2353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3B4-482D-AA2D-D404815DCCC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3B4-482D-AA2D-D404815DCC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Dashboard!$G$16:$G$22</c:f>
              <c:strCache>
                <c:ptCount val="1"/>
                <c:pt idx="0">
                  <c:v>Sin datos</c:v>
                </c:pt>
              </c:strCache>
            </c:strRef>
          </c:cat>
          <c:val>
            <c:numRef>
              <c:f>Dashboard!$H$16:$H$22</c:f>
              <c:numCache>
                <c:formatCode>General</c:formatCode>
                <c:ptCount val="7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ED-45B4-9002-59028D23B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47625</xdr:colOff>
      <xdr:row>2</xdr:row>
      <xdr:rowOff>171450</xdr:rowOff>
    </xdr:from>
    <xdr:to>
      <xdr:col>16</xdr:col>
      <xdr:colOff>47625</xdr:colOff>
      <xdr:row>17</xdr:row>
      <xdr:rowOff>171450</xdr:rowOff>
    </xdr:to>
    <xdr:graphicFrame macro="">
      <xdr:nvGraphicFramePr>
        <xdr:cNvPr id="3" name="IncomeChart3D">
          <a:extLst>
            <a:ext uri="{FF2B5EF4-FFF2-40B4-BE49-F238E27FC236}">
              <a16:creationId xmlns:a16="http://schemas.microsoft.com/office/drawing/2014/main" id="{694A2295-12C4-9C23-EE15-836505672B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19</xdr:row>
      <xdr:rowOff>0</xdr:rowOff>
    </xdr:from>
    <xdr:to>
      <xdr:col>16</xdr:col>
      <xdr:colOff>0</xdr:colOff>
      <xdr:row>34</xdr:row>
      <xdr:rowOff>0</xdr:rowOff>
    </xdr:to>
    <xdr:graphicFrame macro="">
      <xdr:nvGraphicFramePr>
        <xdr:cNvPr id="6" name="ExpenseChart3D">
          <a:extLst>
            <a:ext uri="{FF2B5EF4-FFF2-40B4-BE49-F238E27FC236}">
              <a16:creationId xmlns:a16="http://schemas.microsoft.com/office/drawing/2014/main" id="{6808FAD8-DF2D-78B5-8E89-09797164CD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8BA996-FA1F-4DF4-9FA6-1140404EA1CB}" name="TablaIngresos" displayName="TablaIngresos" ref="A1:I74" totalsRowShown="0" headerRowDxfId="30" dataDxfId="29">
  <autoFilter ref="A1:I74" xr:uid="{928BA996-FA1F-4DF4-9FA6-1140404EA1CB}"/>
  <sortState xmlns:xlrd2="http://schemas.microsoft.com/office/spreadsheetml/2017/richdata2" ref="A2:I16">
    <sortCondition ref="A1:A74"/>
  </sortState>
  <tableColumns count="9">
    <tableColumn id="1" xr3:uid="{DAC395F8-1946-4377-A616-5238861D7B91}" name="INCOME STATEMENT - REVENUE SECTION" dataDxfId="28"/>
    <tableColumn id="2" xr3:uid="{6D8E4BA4-B948-4EFA-86D7-84F871DB1301}" name="Document Number" dataDxfId="27"/>
    <tableColumn id="3" xr3:uid="{DCC2098D-D046-4F89-ABF1-1484AEE78025}" name="Description" dataDxfId="26"/>
    <tableColumn id="4" xr3:uid="{9AC101F5-E140-4815-966E-0BDD96F18EFD}" name="Customer" dataDxfId="25"/>
    <tableColumn id="5" xr3:uid="{482C678A-289C-4015-801D-3FB51A6A0A51}" name="Category" dataDxfId="24"/>
    <tableColumn id="6" xr3:uid="{E0B6C26A-4C64-497E-9798-4444BFF8AF71}" name="Payment Method" dataDxfId="23"/>
    <tableColumn id="7" xr3:uid="{524CDBD4-50AD-4553-A2B5-9E8B107E626D}" name="Status" dataDxfId="22"/>
    <tableColumn id="8" xr3:uid="{ED761A9B-7B21-4407-A2DB-7A8D7DCE00D8}" name="Amount" dataDxfId="21"/>
    <tableColumn id="9" xr3:uid="{FDA3BCEE-4636-431F-9E99-A8E6C7354BB3}" name="Notes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DB030B-A8C5-43F0-849D-43F9638E1327}" name="TablaGastos" displayName="TablaGastos" ref="A1:J501" totalsRowCount="1" headerRowDxfId="19">
  <autoFilter ref="A1:J500" xr:uid="{19DB030B-A8C5-43F0-849D-43F9638E1327}"/>
  <sortState xmlns:xlrd2="http://schemas.microsoft.com/office/spreadsheetml/2017/richdata2" ref="A2:J500">
    <sortCondition ref="A1:A500"/>
  </sortState>
  <tableColumns count="10">
    <tableColumn id="1" xr3:uid="{BAB790C6-6BE4-4617-A203-79FC2646D2C3}" name="Date" dataDxfId="18" totalsRowDxfId="17"/>
    <tableColumn id="2" xr3:uid="{D36E647C-34AB-4215-AF06-D8538AAF00FA}" name="Document Number" dataDxfId="16" totalsRowDxfId="15"/>
    <tableColumn id="3" xr3:uid="{B56F9378-56F3-40AA-916A-5083BA1EB5AA}" name="Description"/>
    <tableColumn id="4" xr3:uid="{682F266B-F06D-45F6-A5DF-50544AA05F1F}" name="Supplier"/>
    <tableColumn id="5" xr3:uid="{A4222FD8-DCFD-4175-AE15-9343454B35C0}" name="Category"/>
    <tableColumn id="10" xr3:uid="{CAF144AB-3D6E-4B3D-B915-DE9A1CA2D545}" name="Type" totalsRowFunction="custom" dataDxfId="14">
      <calculatedColumnFormula>IF(E2="","",IFERROR(_xlfn.XLOOKUP(E2,Settings!$F$2:$F$36,Settings!$E$2:$E$36,""),""))</calculatedColumnFormula>
      <totalsRowFormula>IF(E501="","",IFERROR(_xlfn.XLOOKUP(E501,Settings!$F$2:$F$38,Settings!$E$2:$E$38,""),""))</totalsRowFormula>
    </tableColumn>
    <tableColumn id="6" xr3:uid="{7666864B-1E61-4414-91E8-47CF3CB43D94}" name="Payment Method"/>
    <tableColumn id="7" xr3:uid="{EF2A484E-B897-4137-B330-1BF00E9A0129}" name="Status"/>
    <tableColumn id="8" xr3:uid="{922D1868-C790-496C-9035-4C241FC71056}" name="Amount" dataDxfId="13" totalsRowDxfId="12"/>
    <tableColumn id="9" xr3:uid="{0622651E-FAAC-474F-8E98-065D10281E20}" name="Notes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DC3F3D-995A-4983-A023-FB68C49F15C7}" name="TablaCategorias" displayName="TablaCategorias" ref="F1:F38" totalsRowShown="0" headerRowDxfId="36" dataDxfId="35">
  <autoFilter ref="F1:F38" xr:uid="{49DC3F3D-995A-4983-A023-FB68C49F15C7}"/>
  <sortState xmlns:xlrd2="http://schemas.microsoft.com/office/spreadsheetml/2017/richdata2" ref="F2:F37">
    <sortCondition ref="F1:F37"/>
  </sortState>
  <tableColumns count="1">
    <tableColumn id="1" xr3:uid="{FF74CF38-06E5-44D3-A190-B10DAC9E2379}" name="Chart of Accounts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641FC7-FAE4-4FF6-9445-D7143184D94F}" name="TablaClientes" displayName="TablaClientes" ref="A1:A17" totalsRowShown="0" headerRowDxfId="33">
  <autoFilter ref="A1:A17" xr:uid="{3A641FC7-FAE4-4FF6-9445-D7143184D94F}"/>
  <tableColumns count="1">
    <tableColumn id="1" xr3:uid="{8D10CB2C-A4B2-41DF-BC9C-9F94C5E4F823}" name="Customer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D420AF-4C8B-469F-A52F-CD1BFDDFFBCA}" name="TablaProveedores" displayName="TablaProveedores" ref="C1:C17" totalsRowShown="0" headerRowDxfId="32">
  <autoFilter ref="C1:C17" xr:uid="{E2D420AF-4C8B-469F-A52F-CD1BFDDFFBCA}"/>
  <tableColumns count="1">
    <tableColumn id="1" xr3:uid="{19C99053-9FE9-4926-A037-10C13BAF1CCE}" name="Supplier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A74B662-20BC-4FAB-9C83-75422B16E49C}" name="TablaRevenue" displayName="TablaRevenue" ref="H1:H8" totalsRowShown="0" headerRowDxfId="31">
  <autoFilter ref="H1:H8" xr:uid="{1A74B662-20BC-4FAB-9C83-75422B16E49C}"/>
  <tableColumns count="1">
    <tableColumn id="1" xr3:uid="{DC71D375-B14A-492A-BD7C-F19935267336}" name="Revenue Categori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5" Type="http://schemas.microsoft.com/office/2011/relationships/webextension" Target="webextension5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  <wetp:taskpane dockstate="right" visibility="0" width="350" row="6">
    <wetp:webextensionref xmlns:r="http://schemas.openxmlformats.org/officeDocument/2006/relationships" r:id="rId3"/>
  </wetp:taskpane>
  <wetp:taskpane dockstate="right" visibility="0" width="350" row="8">
    <wetp:webextensionref xmlns:r="http://schemas.openxmlformats.org/officeDocument/2006/relationships" r:id="rId4"/>
  </wetp:taskpane>
  <wetp:taskpane dockstate="right" visibility="0" width="350" row="9">
    <wetp:webextensionref xmlns:r="http://schemas.openxmlformats.org/officeDocument/2006/relationships" r:id="rId5"/>
  </wetp:taskpane>
</wetp:taskpanes>
</file>

<file path=xl/webextensions/webextension1.xml><?xml version="1.0" encoding="utf-8"?>
<we:webextension xmlns:we="http://schemas.microsoft.com/office/webextensions/webextension/2010/11" id="{6F43A549-4976-44D2-968B-B0338EE79A61}">
  <we:reference id="wa200005502" version="1.0.0.13" store="es-ES" storeType="OMEX"/>
  <we:alternateReferences>
    <we:reference id="wa200005502" version="1.0.0.13" store="wa200005502" storeType="OMEX"/>
  </we:alternateReferences>
  <we:properties>
    <we:property name="docId" value="&quot;T31QyN6BVE7IABgsPuA7C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212B25C-7ABA-4B54-9FD6-487EF66B2C21}">
  <we:reference id="wa200003784" version="1.2.0.2" store="en-GB" storeType="OMEX"/>
  <we:alternateReferences>
    <we:reference id="WA200003784" version="1.2.0.2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A7C5922E-1894-4167-8BEF-17ECE65B1FF5}">
  <we:reference id="wa200008989" version="1.0.0.4" store="es-ES" storeType="OMEX"/>
  <we:alternateReferences>
    <we:reference id="wa200008989" version="1.0.0.4" store="wa200008989" storeType="OMEX"/>
  </we:alternateReferences>
  <we:properties>
    <we:property name="Office.ForceRefreshCustomFunctionsCache" value="true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_xldudf_COREGPT</we:customFunctionIds>
        <we:customFunctionIds>_xldudf_COREGPT_TRANSLATE</we:customFunctionIds>
        <we:customFunctionIds>_xldudf_COREGPT_EXTRACT</we:customFunctionIds>
        <we:customFunctionIds>_xldudf_COREGPT_FORMAT</we:customFunctionIds>
        <we:customFunctionIds>_xldudf_COREGPT_SUMMARIZE</we:customFunctionIds>
        <we:customFunctionIds>_xldudf_COREGPT_CLASSIFY</we:customFunctionIds>
      </we:customFunctionIdList>
    </a:ext>
  </we:extLst>
</we:webextension>
</file>

<file path=xl/webextensions/webextension4.xml><?xml version="1.0" encoding="utf-8"?>
<we:webextension xmlns:we="http://schemas.microsoft.com/office/webextensions/webextension/2010/11" id="{A74580CD-517B-4621-9E11-B643AAC35716}">
  <we:reference id="wa104168603" version="1.0.0.6" store="es-ES" storeType="OMEX"/>
  <we:alternateReferences>
    <we:reference id="WA104168603" version="1.0.0.6" store="" storeType="OMEX"/>
  </we:alternateReferences>
  <we:properties/>
  <we:bindings/>
  <we:snapshot xmlns:r="http://schemas.openxmlformats.org/officeDocument/2006/relationships"/>
</we:webextension>
</file>

<file path=xl/webextensions/webextension5.xml><?xml version="1.0" encoding="utf-8"?>
<we:webextension xmlns:we="http://schemas.microsoft.com/office/webextensions/webextension/2010/11" id="{F6D1C855-8B06-453D-829C-FF07037B32D6}">
  <we:reference id="wa200007447" version="1.1.6.7" store="es-ES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B0EDB-BF62-46C4-9EF1-96A6CD5CDF21}">
  <sheetPr>
    <pageSetUpPr fitToPage="1"/>
  </sheetPr>
  <dimension ref="A1:I74"/>
  <sheetViews>
    <sheetView zoomScaleNormal="100" workbookViewId="0">
      <selection activeCell="A2" sqref="A2:I75"/>
    </sheetView>
  </sheetViews>
  <sheetFormatPr baseColWidth="10" defaultRowHeight="15" x14ac:dyDescent="0.25"/>
  <cols>
    <col min="1" max="1" width="14.42578125" style="4" bestFit="1" customWidth="1"/>
    <col min="2" max="2" width="27.5703125" bestFit="1" customWidth="1"/>
    <col min="3" max="3" width="23.140625" bestFit="1" customWidth="1"/>
    <col min="4" max="4" width="21.7109375" bestFit="1" customWidth="1"/>
    <col min="5" max="5" width="23.42578125" bestFit="1" customWidth="1"/>
    <col min="6" max="6" width="25.42578125" bestFit="1" customWidth="1"/>
    <col min="7" max="7" width="11.140625" bestFit="1" customWidth="1"/>
    <col min="8" max="8" width="13.5703125" style="5" bestFit="1" customWidth="1"/>
    <col min="9" max="9" width="17.28515625" bestFit="1" customWidth="1"/>
  </cols>
  <sheetData>
    <row r="1" spans="1:9" ht="21" x14ac:dyDescent="0.35">
      <c r="A1" s="42" t="s">
        <v>217</v>
      </c>
      <c r="B1" s="43" t="s">
        <v>25</v>
      </c>
      <c r="C1" s="43" t="s">
        <v>29</v>
      </c>
      <c r="D1" s="43" t="s">
        <v>30</v>
      </c>
      <c r="E1" s="43" t="s">
        <v>26</v>
      </c>
      <c r="F1" s="43" t="s">
        <v>31</v>
      </c>
      <c r="G1" s="43" t="s">
        <v>32</v>
      </c>
      <c r="H1" s="44" t="s">
        <v>27</v>
      </c>
      <c r="I1" s="43" t="s">
        <v>33</v>
      </c>
    </row>
    <row r="2" spans="1:9" ht="15.75" x14ac:dyDescent="0.25">
      <c r="A2" s="45"/>
      <c r="B2" s="46"/>
      <c r="C2" s="1"/>
      <c r="D2" s="1"/>
      <c r="E2" s="1"/>
      <c r="F2" s="1"/>
      <c r="G2" s="1"/>
      <c r="H2" s="47"/>
      <c r="I2" s="1"/>
    </row>
    <row r="3" spans="1:9" ht="15.75" x14ac:dyDescent="0.25">
      <c r="A3" s="45"/>
      <c r="B3" s="46"/>
      <c r="C3" s="1"/>
      <c r="D3" s="1"/>
      <c r="E3" s="1"/>
      <c r="F3" s="1"/>
      <c r="G3" s="1"/>
      <c r="H3" s="47"/>
      <c r="I3" s="1"/>
    </row>
    <row r="4" spans="1:9" ht="15.75" x14ac:dyDescent="0.25">
      <c r="A4" s="45"/>
      <c r="B4" s="46"/>
      <c r="C4" s="1"/>
      <c r="D4" s="1"/>
      <c r="E4" s="1"/>
      <c r="F4" s="1"/>
      <c r="G4" s="1"/>
      <c r="H4" s="47"/>
      <c r="I4" s="1"/>
    </row>
    <row r="5" spans="1:9" ht="15.75" x14ac:dyDescent="0.25">
      <c r="A5" s="45"/>
      <c r="B5" s="46"/>
      <c r="C5" s="1"/>
      <c r="D5" s="1"/>
      <c r="E5" s="1"/>
      <c r="F5" s="1"/>
      <c r="G5" s="1"/>
      <c r="H5" s="47"/>
      <c r="I5" s="1"/>
    </row>
    <row r="6" spans="1:9" ht="15.75" x14ac:dyDescent="0.25">
      <c r="A6" s="45"/>
      <c r="B6" s="46"/>
      <c r="C6" s="1"/>
      <c r="D6" s="1"/>
      <c r="E6" s="1"/>
      <c r="F6" s="1"/>
      <c r="G6" s="1"/>
      <c r="H6" s="47"/>
      <c r="I6" s="1"/>
    </row>
    <row r="7" spans="1:9" ht="15.75" x14ac:dyDescent="0.25">
      <c r="A7" s="45"/>
      <c r="B7" s="46"/>
      <c r="C7" s="1"/>
      <c r="D7" s="1"/>
      <c r="E7" s="1"/>
      <c r="F7" s="1"/>
      <c r="G7" s="1"/>
      <c r="H7" s="47"/>
      <c r="I7" s="1"/>
    </row>
    <row r="8" spans="1:9" ht="15.75" x14ac:dyDescent="0.25">
      <c r="A8" s="45"/>
      <c r="B8" s="46"/>
      <c r="C8" s="1"/>
      <c r="D8" s="1"/>
      <c r="E8" s="1"/>
      <c r="F8" s="1"/>
      <c r="G8" s="1"/>
      <c r="H8" s="47"/>
      <c r="I8" s="1"/>
    </row>
    <row r="9" spans="1:9" ht="15.75" x14ac:dyDescent="0.25">
      <c r="A9" s="45"/>
      <c r="B9" s="46"/>
      <c r="C9" s="1"/>
      <c r="D9" s="1"/>
      <c r="E9" s="1"/>
      <c r="F9" s="1"/>
      <c r="G9" s="1"/>
      <c r="H9" s="47"/>
      <c r="I9" s="1"/>
    </row>
    <row r="10" spans="1:9" ht="15.75" x14ac:dyDescent="0.25">
      <c r="A10" s="45"/>
      <c r="B10" s="46"/>
      <c r="C10" s="1"/>
      <c r="D10" s="1"/>
      <c r="E10" s="1"/>
      <c r="F10" s="1"/>
      <c r="G10" s="1"/>
      <c r="H10" s="47"/>
      <c r="I10" s="1"/>
    </row>
    <row r="11" spans="1:9" ht="15.75" x14ac:dyDescent="0.25">
      <c r="A11" s="45"/>
      <c r="B11" s="46"/>
      <c r="C11" s="1"/>
      <c r="D11" s="1"/>
      <c r="E11" s="1"/>
      <c r="F11" s="1"/>
      <c r="G11" s="1"/>
      <c r="H11" s="47"/>
      <c r="I11" s="1"/>
    </row>
    <row r="12" spans="1:9" ht="15.75" x14ac:dyDescent="0.25">
      <c r="A12" s="45"/>
      <c r="B12" s="46"/>
      <c r="C12" s="1"/>
      <c r="D12" s="1"/>
      <c r="E12" s="1"/>
      <c r="F12" s="1"/>
      <c r="G12" s="1"/>
      <c r="H12" s="47"/>
      <c r="I12" s="1"/>
    </row>
    <row r="13" spans="1:9" ht="15.75" x14ac:dyDescent="0.25">
      <c r="A13" s="45"/>
      <c r="B13" s="46"/>
      <c r="C13" s="1"/>
      <c r="D13" s="1"/>
      <c r="E13" s="1"/>
      <c r="F13" s="1"/>
      <c r="G13" s="1"/>
      <c r="H13" s="47"/>
      <c r="I13" s="1"/>
    </row>
    <row r="14" spans="1:9" ht="15.75" x14ac:dyDescent="0.25">
      <c r="A14" s="45"/>
      <c r="B14" s="46"/>
      <c r="C14" s="1"/>
      <c r="D14" s="1"/>
      <c r="E14" s="1"/>
      <c r="F14" s="1"/>
      <c r="G14" s="1"/>
      <c r="H14" s="47"/>
      <c r="I14" s="1"/>
    </row>
    <row r="15" spans="1:9" ht="15.75" x14ac:dyDescent="0.25">
      <c r="A15" s="45"/>
      <c r="B15" s="46"/>
      <c r="C15" s="1"/>
      <c r="D15" s="1"/>
      <c r="E15" s="1"/>
      <c r="F15" s="1"/>
      <c r="G15" s="1"/>
      <c r="H15" s="47"/>
      <c r="I15" s="1"/>
    </row>
    <row r="16" spans="1:9" ht="15.75" x14ac:dyDescent="0.25">
      <c r="A16" s="45"/>
      <c r="B16" s="46"/>
      <c r="C16" s="1"/>
      <c r="D16" s="1"/>
      <c r="E16" s="1"/>
      <c r="F16" s="1"/>
      <c r="G16" s="1"/>
      <c r="H16" s="47"/>
      <c r="I16" s="1"/>
    </row>
    <row r="17" spans="1:9" ht="15.75" x14ac:dyDescent="0.25">
      <c r="A17" s="45"/>
      <c r="B17" s="46"/>
      <c r="C17" s="1"/>
      <c r="D17" s="1"/>
      <c r="E17" s="1"/>
      <c r="F17" s="1"/>
      <c r="G17" s="1"/>
      <c r="H17" s="47"/>
      <c r="I17" s="1"/>
    </row>
    <row r="18" spans="1:9" ht="15.75" x14ac:dyDescent="0.25">
      <c r="A18" s="45"/>
      <c r="B18" s="46"/>
      <c r="C18" s="1"/>
      <c r="D18" s="1"/>
      <c r="E18" s="1"/>
      <c r="F18" s="1"/>
      <c r="G18" s="1"/>
      <c r="H18" s="47"/>
      <c r="I18" s="1"/>
    </row>
    <row r="19" spans="1:9" ht="15.75" x14ac:dyDescent="0.25">
      <c r="A19" s="45"/>
      <c r="B19" s="46"/>
      <c r="C19" s="1"/>
      <c r="D19" s="1"/>
      <c r="E19" s="1"/>
      <c r="F19" s="1"/>
      <c r="G19" s="1"/>
      <c r="H19" s="47"/>
      <c r="I19" s="1"/>
    </row>
    <row r="20" spans="1:9" ht="15.75" x14ac:dyDescent="0.25">
      <c r="A20" s="45"/>
      <c r="B20" s="46"/>
      <c r="C20" s="1"/>
      <c r="D20" s="1"/>
      <c r="E20" s="1"/>
      <c r="F20" s="1"/>
      <c r="G20" s="1"/>
      <c r="H20" s="47"/>
      <c r="I20" s="1"/>
    </row>
    <row r="21" spans="1:9" ht="15.75" x14ac:dyDescent="0.25">
      <c r="A21" s="45"/>
      <c r="B21" s="46"/>
      <c r="C21" s="1"/>
      <c r="D21" s="1"/>
      <c r="E21" s="1"/>
      <c r="F21" s="1"/>
      <c r="G21" s="1"/>
      <c r="H21" s="47"/>
      <c r="I21" s="1"/>
    </row>
    <row r="22" spans="1:9" ht="15.75" x14ac:dyDescent="0.25">
      <c r="A22" s="45"/>
      <c r="B22" s="46"/>
      <c r="C22" s="1"/>
      <c r="D22" s="1"/>
      <c r="E22" s="1"/>
      <c r="F22" s="1"/>
      <c r="G22" s="1"/>
      <c r="H22" s="47"/>
      <c r="I22" s="1"/>
    </row>
    <row r="23" spans="1:9" ht="15.75" x14ac:dyDescent="0.25">
      <c r="A23" s="45"/>
      <c r="B23" s="46"/>
      <c r="C23" s="1"/>
      <c r="D23" s="1"/>
      <c r="E23" s="1"/>
      <c r="F23" s="1"/>
      <c r="G23" s="1"/>
      <c r="H23" s="47"/>
      <c r="I23" s="1"/>
    </row>
    <row r="24" spans="1:9" ht="15.75" x14ac:dyDescent="0.25">
      <c r="A24" s="45"/>
      <c r="B24" s="46"/>
      <c r="C24" s="1"/>
      <c r="D24" s="1"/>
      <c r="E24" s="1"/>
      <c r="F24" s="1"/>
      <c r="G24" s="1"/>
      <c r="H24" s="47"/>
      <c r="I24" s="1"/>
    </row>
    <row r="25" spans="1:9" ht="15.75" x14ac:dyDescent="0.25">
      <c r="A25" s="45"/>
      <c r="B25" s="46"/>
      <c r="C25" s="1"/>
      <c r="D25" s="1"/>
      <c r="E25" s="1"/>
      <c r="F25" s="1"/>
      <c r="G25" s="1"/>
      <c r="H25" s="47"/>
      <c r="I25" s="1"/>
    </row>
    <row r="26" spans="1:9" ht="15.75" x14ac:dyDescent="0.25">
      <c r="A26" s="45"/>
      <c r="B26" s="46"/>
      <c r="C26" s="1"/>
      <c r="D26" s="1"/>
      <c r="E26" s="1"/>
      <c r="F26" s="1"/>
      <c r="G26" s="1"/>
      <c r="H26" s="47"/>
      <c r="I26" s="1"/>
    </row>
    <row r="27" spans="1:9" ht="15.75" x14ac:dyDescent="0.25">
      <c r="A27" s="45"/>
      <c r="B27" s="46"/>
      <c r="C27" s="1"/>
      <c r="D27" s="1"/>
      <c r="E27" s="1"/>
      <c r="F27" s="1"/>
      <c r="G27" s="1"/>
      <c r="H27" s="47"/>
      <c r="I27" s="1"/>
    </row>
    <row r="28" spans="1:9" ht="15.75" x14ac:dyDescent="0.25">
      <c r="A28" s="45"/>
      <c r="B28" s="46"/>
      <c r="C28" s="1"/>
      <c r="D28" s="1"/>
      <c r="E28" s="1"/>
      <c r="F28" s="1"/>
      <c r="G28" s="1"/>
      <c r="H28" s="47"/>
      <c r="I28" s="1"/>
    </row>
    <row r="29" spans="1:9" ht="15.75" x14ac:dyDescent="0.25">
      <c r="A29" s="45"/>
      <c r="B29" s="46"/>
      <c r="C29" s="1"/>
      <c r="D29" s="1"/>
      <c r="E29" s="1"/>
      <c r="F29" s="1"/>
      <c r="G29" s="1"/>
      <c r="H29" s="47"/>
      <c r="I29" s="1"/>
    </row>
    <row r="30" spans="1:9" ht="15.75" x14ac:dyDescent="0.25">
      <c r="A30" s="45"/>
      <c r="B30" s="46"/>
      <c r="C30" s="1"/>
      <c r="D30" s="1"/>
      <c r="E30" s="1"/>
      <c r="F30" s="1"/>
      <c r="G30" s="1"/>
      <c r="H30" s="47"/>
      <c r="I30" s="1"/>
    </row>
    <row r="31" spans="1:9" ht="15.75" x14ac:dyDescent="0.25">
      <c r="A31" s="45"/>
      <c r="B31" s="46"/>
      <c r="C31" s="1"/>
      <c r="D31" s="1"/>
      <c r="E31" s="1"/>
      <c r="F31" s="1"/>
      <c r="G31" s="1"/>
      <c r="H31" s="47"/>
      <c r="I31" s="1"/>
    </row>
    <row r="32" spans="1:9" ht="15.75" x14ac:dyDescent="0.25">
      <c r="A32" s="45"/>
      <c r="B32" s="46"/>
      <c r="C32" s="1"/>
      <c r="D32" s="1"/>
      <c r="E32" s="1"/>
      <c r="F32" s="1"/>
      <c r="G32" s="1"/>
      <c r="H32" s="47"/>
      <c r="I32" s="1"/>
    </row>
    <row r="33" spans="1:9" ht="15.75" x14ac:dyDescent="0.25">
      <c r="A33" s="45"/>
      <c r="B33" s="46"/>
      <c r="C33" s="1"/>
      <c r="D33" s="1"/>
      <c r="E33" s="1"/>
      <c r="F33" s="1"/>
      <c r="G33" s="1"/>
      <c r="H33" s="47"/>
      <c r="I33" s="1"/>
    </row>
    <row r="34" spans="1:9" ht="15.75" x14ac:dyDescent="0.25">
      <c r="A34" s="45"/>
      <c r="B34" s="46"/>
      <c r="C34" s="1"/>
      <c r="D34" s="1"/>
      <c r="E34" s="1"/>
      <c r="F34" s="1"/>
      <c r="G34" s="1"/>
      <c r="H34" s="47"/>
      <c r="I34" s="1"/>
    </row>
    <row r="35" spans="1:9" ht="15.75" x14ac:dyDescent="0.25">
      <c r="A35" s="45"/>
      <c r="B35" s="46"/>
      <c r="C35" s="1"/>
      <c r="D35" s="1"/>
      <c r="E35" s="1"/>
      <c r="F35" s="1"/>
      <c r="G35" s="1"/>
      <c r="H35" s="47"/>
      <c r="I35" s="1"/>
    </row>
    <row r="36" spans="1:9" ht="15.75" x14ac:dyDescent="0.25">
      <c r="A36" s="45"/>
      <c r="B36" s="46"/>
      <c r="C36" s="1"/>
      <c r="D36" s="1"/>
      <c r="E36" s="1"/>
      <c r="F36" s="1"/>
      <c r="G36" s="1"/>
      <c r="H36" s="47"/>
      <c r="I36" s="1"/>
    </row>
    <row r="37" spans="1:9" ht="15.75" x14ac:dyDescent="0.25">
      <c r="A37" s="45"/>
      <c r="B37" s="46"/>
      <c r="C37" s="1"/>
      <c r="D37" s="1"/>
      <c r="E37" s="1"/>
      <c r="F37" s="1"/>
      <c r="G37" s="1"/>
      <c r="H37" s="47"/>
      <c r="I37" s="1"/>
    </row>
    <row r="38" spans="1:9" ht="15.75" x14ac:dyDescent="0.25">
      <c r="A38" s="45"/>
      <c r="B38" s="46"/>
      <c r="C38" s="1"/>
      <c r="D38" s="1"/>
      <c r="E38" s="1"/>
      <c r="F38" s="1"/>
      <c r="G38" s="1"/>
      <c r="H38" s="47"/>
      <c r="I38" s="1"/>
    </row>
    <row r="39" spans="1:9" ht="15.75" x14ac:dyDescent="0.25">
      <c r="A39" s="45"/>
      <c r="B39" s="46"/>
      <c r="C39" s="1"/>
      <c r="D39" s="1"/>
      <c r="E39" s="1"/>
      <c r="F39" s="1"/>
      <c r="G39" s="1"/>
      <c r="H39" s="47"/>
      <c r="I39" s="1"/>
    </row>
    <row r="40" spans="1:9" ht="15.75" x14ac:dyDescent="0.25">
      <c r="A40" s="45"/>
      <c r="B40" s="46"/>
      <c r="C40" s="1"/>
      <c r="D40" s="1"/>
      <c r="E40" s="1"/>
      <c r="F40" s="1"/>
      <c r="G40" s="1"/>
      <c r="H40" s="47"/>
      <c r="I40" s="1"/>
    </row>
    <row r="41" spans="1:9" ht="15.75" x14ac:dyDescent="0.25">
      <c r="A41" s="45"/>
      <c r="B41" s="46"/>
      <c r="C41" s="1"/>
      <c r="D41" s="1"/>
      <c r="E41" s="1"/>
      <c r="F41" s="1"/>
      <c r="G41" s="1"/>
      <c r="H41" s="47"/>
      <c r="I41" s="1"/>
    </row>
    <row r="42" spans="1:9" ht="15.75" x14ac:dyDescent="0.25">
      <c r="A42" s="45"/>
      <c r="B42" s="46"/>
      <c r="C42" s="1"/>
      <c r="D42" s="1"/>
      <c r="E42" s="1"/>
      <c r="F42" s="1"/>
      <c r="G42" s="1"/>
      <c r="H42" s="47"/>
      <c r="I42" s="1"/>
    </row>
    <row r="43" spans="1:9" ht="15.75" x14ac:dyDescent="0.25">
      <c r="A43" s="45"/>
      <c r="B43" s="46"/>
      <c r="C43" s="1"/>
      <c r="D43" s="1"/>
      <c r="E43" s="1"/>
      <c r="F43" s="1"/>
      <c r="G43" s="1"/>
      <c r="H43" s="47"/>
      <c r="I43" s="1"/>
    </row>
    <row r="44" spans="1:9" ht="15.75" x14ac:dyDescent="0.25">
      <c r="A44" s="45"/>
      <c r="B44" s="46"/>
      <c r="C44" s="1"/>
      <c r="D44" s="1"/>
      <c r="E44" s="1"/>
      <c r="F44" s="1"/>
      <c r="G44" s="1"/>
      <c r="H44" s="47"/>
      <c r="I44" s="1"/>
    </row>
    <row r="45" spans="1:9" ht="15.75" x14ac:dyDescent="0.25">
      <c r="A45" s="45"/>
      <c r="B45" s="46"/>
      <c r="C45" s="1"/>
      <c r="D45" s="1"/>
      <c r="E45" s="1"/>
      <c r="F45" s="1"/>
      <c r="G45" s="1"/>
      <c r="H45" s="47"/>
      <c r="I45" s="1"/>
    </row>
    <row r="46" spans="1:9" ht="15.75" x14ac:dyDescent="0.25">
      <c r="A46" s="45"/>
      <c r="B46" s="46"/>
      <c r="C46" s="1"/>
      <c r="D46" s="1"/>
      <c r="E46" s="1"/>
      <c r="F46" s="1"/>
      <c r="G46" s="1"/>
      <c r="H46" s="47"/>
      <c r="I46" s="1"/>
    </row>
    <row r="47" spans="1:9" ht="15.75" x14ac:dyDescent="0.25">
      <c r="A47" s="45"/>
      <c r="B47" s="46"/>
      <c r="C47" s="1"/>
      <c r="D47" s="1"/>
      <c r="E47" s="1"/>
      <c r="F47" s="1"/>
      <c r="G47" s="1"/>
      <c r="H47" s="47"/>
      <c r="I47" s="1"/>
    </row>
    <row r="48" spans="1:9" ht="15.75" x14ac:dyDescent="0.25">
      <c r="A48" s="45"/>
      <c r="B48" s="46"/>
      <c r="C48" s="1"/>
      <c r="D48" s="1"/>
      <c r="E48" s="1"/>
      <c r="F48" s="1"/>
      <c r="G48" s="1"/>
      <c r="H48" s="47"/>
      <c r="I48" s="1"/>
    </row>
    <row r="49" spans="1:9" ht="15.75" x14ac:dyDescent="0.25">
      <c r="A49" s="45"/>
      <c r="B49" s="46"/>
      <c r="C49" s="1"/>
      <c r="D49" s="1"/>
      <c r="E49" s="1"/>
      <c r="F49" s="1"/>
      <c r="G49" s="1"/>
      <c r="H49" s="47"/>
      <c r="I49" s="1"/>
    </row>
    <row r="50" spans="1:9" ht="15.75" x14ac:dyDescent="0.25">
      <c r="A50" s="45"/>
      <c r="B50" s="46"/>
      <c r="C50" s="1"/>
      <c r="D50" s="1"/>
      <c r="E50" s="1"/>
      <c r="F50" s="1"/>
      <c r="G50" s="1"/>
      <c r="H50" s="47"/>
      <c r="I50" s="1"/>
    </row>
    <row r="51" spans="1:9" ht="15.75" x14ac:dyDescent="0.25">
      <c r="A51" s="45"/>
      <c r="B51" s="46"/>
      <c r="C51" s="1"/>
      <c r="D51" s="1"/>
      <c r="E51" s="1"/>
      <c r="F51" s="1"/>
      <c r="G51" s="1"/>
      <c r="H51" s="47"/>
      <c r="I51" s="1"/>
    </row>
    <row r="52" spans="1:9" ht="15.75" x14ac:dyDescent="0.25">
      <c r="A52" s="45"/>
      <c r="B52" s="46"/>
      <c r="C52" s="1"/>
      <c r="D52" s="1"/>
      <c r="E52" s="1"/>
      <c r="F52" s="1"/>
      <c r="G52" s="1"/>
      <c r="H52" s="47"/>
      <c r="I52" s="1"/>
    </row>
    <row r="53" spans="1:9" ht="15.75" x14ac:dyDescent="0.25">
      <c r="A53" s="45"/>
      <c r="B53" s="46"/>
      <c r="C53" s="1"/>
      <c r="D53" s="1"/>
      <c r="E53" s="1"/>
      <c r="F53" s="1"/>
      <c r="G53" s="1"/>
      <c r="H53" s="47"/>
      <c r="I53" s="1"/>
    </row>
    <row r="54" spans="1:9" ht="15.75" x14ac:dyDescent="0.25">
      <c r="A54" s="45"/>
      <c r="B54" s="46"/>
      <c r="C54" s="1"/>
      <c r="D54" s="1"/>
      <c r="E54" s="1"/>
      <c r="F54" s="1"/>
      <c r="G54" s="1"/>
      <c r="H54" s="47"/>
      <c r="I54" s="1"/>
    </row>
    <row r="55" spans="1:9" ht="15.75" x14ac:dyDescent="0.25">
      <c r="A55" s="45"/>
      <c r="B55" s="46"/>
      <c r="C55" s="1"/>
      <c r="D55" s="1"/>
      <c r="E55" s="1"/>
      <c r="F55" s="1"/>
      <c r="G55" s="1"/>
      <c r="H55" s="47"/>
      <c r="I55" s="1"/>
    </row>
    <row r="56" spans="1:9" ht="15.75" x14ac:dyDescent="0.25">
      <c r="A56" s="45"/>
      <c r="B56" s="46"/>
      <c r="C56" s="1"/>
      <c r="D56" s="1"/>
      <c r="E56" s="1"/>
      <c r="F56" s="1"/>
      <c r="G56" s="1"/>
      <c r="H56" s="47"/>
      <c r="I56" s="1"/>
    </row>
    <row r="57" spans="1:9" ht="15.75" x14ac:dyDescent="0.25">
      <c r="A57" s="45"/>
      <c r="B57" s="46"/>
      <c r="C57" s="1"/>
      <c r="D57" s="1"/>
      <c r="E57" s="1"/>
      <c r="F57" s="1"/>
      <c r="G57" s="1"/>
      <c r="H57" s="47"/>
      <c r="I57" s="1"/>
    </row>
    <row r="58" spans="1:9" ht="15.75" x14ac:dyDescent="0.25">
      <c r="A58" s="45"/>
      <c r="B58" s="46"/>
      <c r="C58" s="1"/>
      <c r="D58" s="1"/>
      <c r="E58" s="1"/>
      <c r="F58" s="1"/>
      <c r="G58" s="1"/>
      <c r="H58" s="47"/>
      <c r="I58" s="1"/>
    </row>
    <row r="59" spans="1:9" ht="15.75" x14ac:dyDescent="0.25">
      <c r="A59" s="45"/>
      <c r="B59" s="46"/>
      <c r="C59" s="1"/>
      <c r="D59" s="1"/>
      <c r="E59" s="1"/>
      <c r="F59" s="1"/>
      <c r="G59" s="1"/>
      <c r="H59" s="47"/>
      <c r="I59" s="1"/>
    </row>
    <row r="60" spans="1:9" ht="15.75" x14ac:dyDescent="0.25">
      <c r="A60" s="45"/>
      <c r="B60" s="46"/>
      <c r="C60" s="1"/>
      <c r="D60" s="1"/>
      <c r="E60" s="1"/>
      <c r="F60" s="1"/>
      <c r="G60" s="1"/>
      <c r="H60" s="47"/>
      <c r="I60" s="1"/>
    </row>
    <row r="61" spans="1:9" ht="15.75" x14ac:dyDescent="0.25">
      <c r="A61" s="45"/>
      <c r="B61" s="46"/>
      <c r="C61" s="1"/>
      <c r="D61" s="1"/>
      <c r="E61" s="1"/>
      <c r="F61" s="1"/>
      <c r="G61" s="1"/>
      <c r="H61" s="47"/>
      <c r="I61" s="1"/>
    </row>
    <row r="62" spans="1:9" ht="15.75" x14ac:dyDescent="0.25">
      <c r="A62" s="45"/>
      <c r="B62" s="46"/>
      <c r="C62" s="1"/>
      <c r="D62" s="1"/>
      <c r="E62" s="1"/>
      <c r="F62" s="1"/>
      <c r="G62" s="1"/>
      <c r="H62" s="47"/>
      <c r="I62" s="1"/>
    </row>
    <row r="63" spans="1:9" ht="15.75" x14ac:dyDescent="0.25">
      <c r="A63" s="45"/>
      <c r="B63" s="46"/>
      <c r="C63" s="1"/>
      <c r="D63" s="1"/>
      <c r="E63" s="1"/>
      <c r="F63" s="1"/>
      <c r="G63" s="1"/>
      <c r="H63" s="47"/>
      <c r="I63" s="1"/>
    </row>
    <row r="64" spans="1:9" ht="15.75" x14ac:dyDescent="0.25">
      <c r="A64" s="45"/>
      <c r="B64" s="46"/>
      <c r="C64" s="1"/>
      <c r="D64" s="1"/>
      <c r="E64" s="1"/>
      <c r="F64" s="1"/>
      <c r="G64" s="1"/>
      <c r="H64" s="47"/>
      <c r="I64" s="1"/>
    </row>
    <row r="65" spans="1:9" ht="15.75" x14ac:dyDescent="0.25">
      <c r="A65" s="45"/>
      <c r="B65" s="46"/>
      <c r="C65" s="1"/>
      <c r="D65" s="1"/>
      <c r="E65" s="1"/>
      <c r="F65" s="1"/>
      <c r="G65" s="1"/>
      <c r="H65" s="47"/>
      <c r="I65" s="1"/>
    </row>
    <row r="66" spans="1:9" ht="15.75" x14ac:dyDescent="0.25">
      <c r="A66" s="45"/>
      <c r="B66" s="46"/>
      <c r="C66" s="1"/>
      <c r="D66" s="1"/>
      <c r="E66" s="1"/>
      <c r="F66" s="1"/>
      <c r="G66" s="1"/>
      <c r="H66" s="47"/>
      <c r="I66" s="1"/>
    </row>
    <row r="67" spans="1:9" ht="15.75" x14ac:dyDescent="0.25">
      <c r="A67" s="45"/>
      <c r="B67" s="46"/>
      <c r="C67" s="1"/>
      <c r="D67" s="1"/>
      <c r="E67" s="1"/>
      <c r="F67" s="1"/>
      <c r="G67" s="1"/>
      <c r="H67" s="47"/>
      <c r="I67" s="1"/>
    </row>
    <row r="68" spans="1:9" ht="15.75" x14ac:dyDescent="0.25">
      <c r="A68" s="45"/>
      <c r="B68" s="46"/>
      <c r="C68" s="1"/>
      <c r="D68" s="1"/>
      <c r="E68" s="1"/>
      <c r="F68" s="1"/>
      <c r="G68" s="1"/>
      <c r="H68" s="47"/>
      <c r="I68" s="1"/>
    </row>
    <row r="69" spans="1:9" ht="15.75" x14ac:dyDescent="0.25">
      <c r="A69" s="45"/>
      <c r="B69" s="46"/>
      <c r="C69" s="1"/>
      <c r="D69" s="1"/>
      <c r="E69" s="1"/>
      <c r="F69" s="1"/>
      <c r="G69" s="1"/>
      <c r="H69" s="47"/>
      <c r="I69" s="1"/>
    </row>
    <row r="70" spans="1:9" ht="15.75" x14ac:dyDescent="0.25">
      <c r="A70" s="45"/>
      <c r="B70" s="46"/>
      <c r="C70" s="1"/>
      <c r="D70" s="1"/>
      <c r="E70" s="1"/>
      <c r="F70" s="1"/>
      <c r="G70" s="1"/>
      <c r="H70" s="47"/>
      <c r="I70" s="1"/>
    </row>
    <row r="71" spans="1:9" ht="15.75" x14ac:dyDescent="0.25">
      <c r="A71" s="45"/>
      <c r="B71" s="46"/>
      <c r="C71" s="1"/>
      <c r="D71" s="1"/>
      <c r="E71" s="1"/>
      <c r="F71" s="1"/>
      <c r="G71" s="1"/>
      <c r="H71" s="47"/>
      <c r="I71" s="1"/>
    </row>
    <row r="72" spans="1:9" ht="15.75" x14ac:dyDescent="0.25">
      <c r="A72" s="45"/>
      <c r="B72" s="46"/>
      <c r="C72" s="1"/>
      <c r="D72" s="1"/>
      <c r="E72" s="1"/>
      <c r="F72" s="1"/>
      <c r="G72" s="1"/>
      <c r="H72" s="47"/>
      <c r="I72" s="1"/>
    </row>
    <row r="73" spans="1:9" ht="15.75" x14ac:dyDescent="0.25">
      <c r="A73" s="45"/>
      <c r="B73" s="46"/>
      <c r="C73" s="1"/>
      <c r="D73" s="1"/>
      <c r="E73" s="1"/>
      <c r="F73" s="1"/>
      <c r="G73" s="1"/>
      <c r="H73" s="47"/>
      <c r="I73" s="1"/>
    </row>
    <row r="74" spans="1:9" ht="15.75" x14ac:dyDescent="0.25">
      <c r="A74" s="45"/>
      <c r="B74" s="46"/>
      <c r="C74" s="1"/>
      <c r="D74" s="1"/>
      <c r="E74" s="1"/>
      <c r="F74" s="1"/>
      <c r="G74" s="1"/>
      <c r="H74" s="47"/>
      <c r="I74" s="1"/>
    </row>
  </sheetData>
  <dataValidations count="5">
    <dataValidation type="list" allowBlank="1" showInputMessage="1" showErrorMessage="1" sqref="E502:E1001" xr:uid="{C8898890-DF9E-410B-83E6-513BF8810FD6}">
      <formula1>"Gross receipts or sales,Returns and allowances,Other income,Interest income,Dividend income,Capital gains"</formula1>
    </dataValidation>
    <dataValidation type="list" allowBlank="1" showInputMessage="1" showErrorMessage="1" sqref="F502:F1001" xr:uid="{B4B273E1-7F04-4284-AEF9-B09F373C1FB1}">
      <formula1>"Cash,Check,Bank Transfer,Credit Card,ACH,Wire Transfer,PayPal,Other"</formula1>
    </dataValidation>
    <dataValidation type="list" allowBlank="1" showInputMessage="1" showErrorMessage="1" sqref="G2:G1001" xr:uid="{1A2816D2-EE58-4B14-9923-72FD53FE6B7D}">
      <formula1>"Paid,Pending,Partial,Overdue,Cancelled"</formula1>
    </dataValidation>
    <dataValidation type="list" allowBlank="1" showInputMessage="1" showErrorMessage="1" sqref="F2:F501" xr:uid="{820EA88C-A77F-430D-BF3C-3E7BA134B9A8}">
      <formula1>"Cash,Check,ACH,Wire Transfer,Debit Card,Credit Card,PayPal,Venmo,Zelle,Cash App,Other"</formula1>
    </dataValidation>
    <dataValidation type="list" allowBlank="1" showInputMessage="1" showErrorMessage="1" sqref="E2:E501" xr:uid="{860E4A77-40AC-4204-94F0-88B3B90E6030}">
      <formula1>"Gross receipts or sales,Returns and allowances,Other income,Interest income,Dividend income,Capital gains,Deposit"</formula1>
    </dataValidation>
  </dataValidations>
  <printOptions horizontalCentered="1"/>
  <pageMargins left="0.25" right="0.25" top="0.75" bottom="0.75" header="0.3" footer="0.3"/>
  <pageSetup scale="75" orientation="landscape" r:id="rId1"/>
  <headerFooter scaleWithDoc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D9C32F-A075-4044-8B86-1E7DBD75E3D2}">
          <x14:formula1>
            <xm:f>Settings!$A$2:$A$50</xm:f>
          </x14:formula1>
          <xm:sqref>D2:D501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1455-F99B-4796-87CB-111908441F9B}">
  <sheetPr>
    <pageSetUpPr fitToPage="1"/>
  </sheetPr>
  <dimension ref="A1:J983"/>
  <sheetViews>
    <sheetView zoomScaleNormal="100" workbookViewId="0">
      <selection activeCell="A2" sqref="A2:J36"/>
    </sheetView>
  </sheetViews>
  <sheetFormatPr baseColWidth="10" defaultRowHeight="15" x14ac:dyDescent="0.25"/>
  <cols>
    <col min="1" max="1" width="12.5703125" style="4" bestFit="1" customWidth="1"/>
    <col min="2" max="2" width="28.42578125" customWidth="1"/>
    <col min="3" max="3" width="22.28515625" bestFit="1" customWidth="1"/>
    <col min="4" max="4" width="26.140625" bestFit="1" customWidth="1"/>
    <col min="5" max="5" width="26.85546875" bestFit="1" customWidth="1"/>
    <col min="6" max="6" width="17" bestFit="1" customWidth="1"/>
    <col min="7" max="7" width="26.5703125" bestFit="1" customWidth="1"/>
    <col min="8" max="8" width="13.7109375" customWidth="1"/>
    <col min="9" max="9" width="15.42578125" style="5" bestFit="1" customWidth="1"/>
    <col min="10" max="10" width="13.28515625" bestFit="1" customWidth="1"/>
  </cols>
  <sheetData>
    <row r="1" spans="1:10" x14ac:dyDescent="0.25">
      <c r="A1" s="30" t="s">
        <v>24</v>
      </c>
      <c r="B1" s="23" t="s">
        <v>25</v>
      </c>
      <c r="C1" s="23" t="s">
        <v>29</v>
      </c>
      <c r="D1" s="23" t="s">
        <v>35</v>
      </c>
      <c r="E1" s="23" t="s">
        <v>26</v>
      </c>
      <c r="F1" s="49" t="s">
        <v>113</v>
      </c>
      <c r="G1" s="23" t="s">
        <v>31</v>
      </c>
      <c r="H1" s="23" t="s">
        <v>32</v>
      </c>
      <c r="I1" s="24" t="s">
        <v>27</v>
      </c>
      <c r="J1" s="23" t="s">
        <v>33</v>
      </c>
    </row>
    <row r="2" spans="1:10" x14ac:dyDescent="0.25">
      <c r="A2" s="40"/>
      <c r="B2" s="41"/>
    </row>
    <row r="3" spans="1:10" x14ac:dyDescent="0.25">
      <c r="A3" s="40"/>
      <c r="B3" s="41"/>
    </row>
    <row r="4" spans="1:10" x14ac:dyDescent="0.25">
      <c r="A4" s="40"/>
      <c r="B4" s="41"/>
    </row>
    <row r="5" spans="1:10" x14ac:dyDescent="0.25">
      <c r="A5" s="40"/>
      <c r="B5" s="41"/>
    </row>
    <row r="6" spans="1:10" x14ac:dyDescent="0.25">
      <c r="A6" s="40"/>
      <c r="B6" s="41"/>
    </row>
    <row r="7" spans="1:10" x14ac:dyDescent="0.25">
      <c r="A7" s="40"/>
      <c r="B7" s="41"/>
    </row>
    <row r="8" spans="1:10" x14ac:dyDescent="0.25">
      <c r="A8" s="40"/>
      <c r="B8" s="41"/>
    </row>
    <row r="9" spans="1:10" x14ac:dyDescent="0.25">
      <c r="A9" s="40"/>
      <c r="B9" s="41"/>
    </row>
    <row r="10" spans="1:10" x14ac:dyDescent="0.25">
      <c r="A10" s="40"/>
      <c r="B10" s="41"/>
    </row>
    <row r="11" spans="1:10" x14ac:dyDescent="0.25">
      <c r="A11" s="40"/>
      <c r="B11" s="41"/>
    </row>
    <row r="12" spans="1:10" x14ac:dyDescent="0.25">
      <c r="A12" s="40"/>
      <c r="B12" s="41"/>
    </row>
    <row r="13" spans="1:10" x14ac:dyDescent="0.25">
      <c r="A13" s="40"/>
      <c r="B13" s="41"/>
    </row>
    <row r="14" spans="1:10" x14ac:dyDescent="0.25">
      <c r="A14" s="40"/>
      <c r="B14" s="41"/>
    </row>
    <row r="15" spans="1:10" x14ac:dyDescent="0.25">
      <c r="A15" s="40"/>
      <c r="B15" s="41"/>
    </row>
    <row r="16" spans="1:10" x14ac:dyDescent="0.25">
      <c r="A16" s="40"/>
      <c r="B16" s="41"/>
    </row>
    <row r="17" spans="1:2" x14ac:dyDescent="0.25">
      <c r="A17" s="40"/>
      <c r="B17" s="41"/>
    </row>
    <row r="18" spans="1:2" x14ac:dyDescent="0.25">
      <c r="A18" s="40"/>
      <c r="B18" s="41"/>
    </row>
    <row r="19" spans="1:2" x14ac:dyDescent="0.25">
      <c r="A19" s="40"/>
      <c r="B19" s="41"/>
    </row>
    <row r="20" spans="1:2" x14ac:dyDescent="0.25">
      <c r="A20" s="40"/>
      <c r="B20" s="41"/>
    </row>
    <row r="21" spans="1:2" x14ac:dyDescent="0.25">
      <c r="A21" s="40"/>
      <c r="B21" s="41"/>
    </row>
    <row r="22" spans="1:2" x14ac:dyDescent="0.25">
      <c r="A22" s="40"/>
      <c r="B22" s="41"/>
    </row>
    <row r="23" spans="1:2" x14ac:dyDescent="0.25">
      <c r="A23" s="40"/>
      <c r="B23" s="41"/>
    </row>
    <row r="24" spans="1:2" x14ac:dyDescent="0.25">
      <c r="A24" s="40"/>
      <c r="B24" s="41"/>
    </row>
    <row r="25" spans="1:2" x14ac:dyDescent="0.25">
      <c r="A25" s="40"/>
      <c r="B25" s="41"/>
    </row>
    <row r="26" spans="1:2" x14ac:dyDescent="0.25">
      <c r="A26" s="40"/>
      <c r="B26" s="41"/>
    </row>
    <row r="27" spans="1:2" x14ac:dyDescent="0.25">
      <c r="A27" s="40"/>
      <c r="B27" s="41"/>
    </row>
    <row r="28" spans="1:2" x14ac:dyDescent="0.25">
      <c r="A28" s="40"/>
      <c r="B28" s="41"/>
    </row>
    <row r="29" spans="1:2" x14ac:dyDescent="0.25">
      <c r="A29" s="40"/>
      <c r="B29" s="41"/>
    </row>
    <row r="30" spans="1:2" x14ac:dyDescent="0.25">
      <c r="A30" s="40"/>
      <c r="B30" s="41"/>
    </row>
    <row r="31" spans="1:2" x14ac:dyDescent="0.25">
      <c r="A31" s="40"/>
      <c r="B31" s="41"/>
    </row>
    <row r="32" spans="1:2" x14ac:dyDescent="0.25">
      <c r="A32" s="40"/>
      <c r="B32" s="41"/>
    </row>
    <row r="33" spans="1:6" x14ac:dyDescent="0.25">
      <c r="A33" s="40"/>
      <c r="B33" s="41"/>
    </row>
    <row r="34" spans="1:6" x14ac:dyDescent="0.25">
      <c r="A34" s="40"/>
      <c r="B34" s="41"/>
    </row>
    <row r="35" spans="1:6" x14ac:dyDescent="0.25">
      <c r="A35" s="40"/>
      <c r="B35" s="41"/>
    </row>
    <row r="36" spans="1:6" x14ac:dyDescent="0.25">
      <c r="A36" s="40"/>
      <c r="B36" s="41"/>
    </row>
    <row r="37" spans="1:6" x14ac:dyDescent="0.25">
      <c r="A37" s="40"/>
      <c r="B37" s="41"/>
      <c r="F37" t="str">
        <f>IF(E37="","",IFERROR(_xlfn.XLOOKUP(E37,Settings!$F$2:$F$36,Settings!$E$2:$E$36,""),""))</f>
        <v/>
      </c>
    </row>
    <row r="38" spans="1:6" x14ac:dyDescent="0.25">
      <c r="A38" s="40"/>
      <c r="B38" s="41"/>
      <c r="F38" t="str">
        <f>IF(E38="","",IFERROR(_xlfn.XLOOKUP(E38,Settings!$F$2:$F$36,Settings!$E$2:$E$36,""),""))</f>
        <v/>
      </c>
    </row>
    <row r="39" spans="1:6" x14ac:dyDescent="0.25">
      <c r="A39" s="40"/>
      <c r="B39" s="41"/>
      <c r="F39" t="str">
        <f>IF(E39="","",IFERROR(_xlfn.XLOOKUP(E39,Settings!$F$2:$F$36,Settings!$E$2:$E$36,""),""))</f>
        <v/>
      </c>
    </row>
    <row r="40" spans="1:6" x14ac:dyDescent="0.25">
      <c r="A40" s="40"/>
      <c r="B40" s="41"/>
      <c r="F40" t="str">
        <f>IF(E40="","",IFERROR(_xlfn.XLOOKUP(E40,Settings!$F$2:$F$36,Settings!$E$2:$E$36,""),""))</f>
        <v/>
      </c>
    </row>
    <row r="41" spans="1:6" x14ac:dyDescent="0.25">
      <c r="A41" s="40"/>
      <c r="B41" s="41"/>
      <c r="F41" t="str">
        <f>IF(E41="","",IFERROR(_xlfn.XLOOKUP(E41,Settings!$F$2:$F$36,Settings!$E$2:$E$36,""),""))</f>
        <v/>
      </c>
    </row>
    <row r="42" spans="1:6" x14ac:dyDescent="0.25">
      <c r="A42" s="40"/>
      <c r="B42" s="41"/>
      <c r="F42" t="str">
        <f>IF(E42="","",IFERROR(_xlfn.XLOOKUP(E42,Settings!$F$2:$F$36,Settings!$E$2:$E$36,""),""))</f>
        <v/>
      </c>
    </row>
    <row r="43" spans="1:6" x14ac:dyDescent="0.25">
      <c r="A43" s="40"/>
      <c r="B43" s="41"/>
      <c r="F43" t="str">
        <f>IF(E43="","",IFERROR(_xlfn.XLOOKUP(E43,Settings!$F$2:$F$36,Settings!$E$2:$E$36,""),""))</f>
        <v/>
      </c>
    </row>
    <row r="44" spans="1:6" x14ac:dyDescent="0.25">
      <c r="A44" s="40"/>
      <c r="B44" s="41"/>
      <c r="F44" t="str">
        <f>IF(E44="","",IFERROR(_xlfn.XLOOKUP(E44,Settings!$F$2:$F$36,Settings!$E$2:$E$36,""),""))</f>
        <v/>
      </c>
    </row>
    <row r="45" spans="1:6" x14ac:dyDescent="0.25">
      <c r="A45" s="40"/>
      <c r="B45" s="41"/>
      <c r="F45" t="str">
        <f>IF(E45="","",IFERROR(_xlfn.XLOOKUP(E45,Settings!$F$2:$F$36,Settings!$E$2:$E$36,""),""))</f>
        <v/>
      </c>
    </row>
    <row r="46" spans="1:6" x14ac:dyDescent="0.25">
      <c r="A46" s="40"/>
      <c r="B46" s="41"/>
      <c r="F46" t="str">
        <f>IF(E46="","",IFERROR(_xlfn.XLOOKUP(E46,Settings!$F$2:$F$36,Settings!$E$2:$E$36,""),""))</f>
        <v/>
      </c>
    </row>
    <row r="47" spans="1:6" x14ac:dyDescent="0.25">
      <c r="A47" s="40"/>
      <c r="B47" s="41"/>
      <c r="F47" t="str">
        <f>IF(E47="","",IFERROR(_xlfn.XLOOKUP(E47,Settings!$F$2:$F$36,Settings!$E$2:$E$36,""),""))</f>
        <v/>
      </c>
    </row>
    <row r="48" spans="1:6" x14ac:dyDescent="0.25">
      <c r="A48" s="40"/>
      <c r="B48" s="41"/>
      <c r="F48" t="str">
        <f>IF(E48="","",IFERROR(_xlfn.XLOOKUP(E48,Settings!$F$2:$F$36,Settings!$E$2:$E$36,""),""))</f>
        <v/>
      </c>
    </row>
    <row r="49" spans="1:6" x14ac:dyDescent="0.25">
      <c r="A49" s="40"/>
      <c r="B49" s="41"/>
      <c r="F49" t="str">
        <f>IF(E49="","",IFERROR(_xlfn.XLOOKUP(E49,Settings!$F$2:$F$36,Settings!$E$2:$E$36,""),""))</f>
        <v/>
      </c>
    </row>
    <row r="50" spans="1:6" x14ac:dyDescent="0.25">
      <c r="A50" s="40"/>
      <c r="B50" s="41"/>
      <c r="F50" t="str">
        <f>IF(E50="","",IFERROR(_xlfn.XLOOKUP(E50,Settings!$F$2:$F$36,Settings!$E$2:$E$36,""),""))</f>
        <v/>
      </c>
    </row>
    <row r="51" spans="1:6" x14ac:dyDescent="0.25">
      <c r="A51" s="40"/>
      <c r="B51" s="41"/>
      <c r="F51" t="str">
        <f>IF(E51="","",IFERROR(_xlfn.XLOOKUP(E51,Settings!$F$2:$F$36,Settings!$E$2:$E$36,""),""))</f>
        <v/>
      </c>
    </row>
    <row r="52" spans="1:6" x14ac:dyDescent="0.25">
      <c r="A52" s="40"/>
      <c r="B52" s="41"/>
      <c r="F52" t="str">
        <f>IF(E52="","",IFERROR(_xlfn.XLOOKUP(E52,Settings!$F$2:$F$36,Settings!$E$2:$E$36,""),""))</f>
        <v/>
      </c>
    </row>
    <row r="53" spans="1:6" x14ac:dyDescent="0.25">
      <c r="A53" s="40"/>
      <c r="B53" s="41"/>
      <c r="F53" t="str">
        <f>IF(E53="","",IFERROR(_xlfn.XLOOKUP(E53,Settings!$F$2:$F$36,Settings!$E$2:$E$36,""),""))</f>
        <v/>
      </c>
    </row>
    <row r="54" spans="1:6" x14ac:dyDescent="0.25">
      <c r="A54" s="40"/>
      <c r="B54" s="41"/>
      <c r="F54" t="str">
        <f>IF(E54="","",IFERROR(_xlfn.XLOOKUP(E54,Settings!$F$2:$F$36,Settings!$E$2:$E$36,""),""))</f>
        <v/>
      </c>
    </row>
    <row r="55" spans="1:6" x14ac:dyDescent="0.25">
      <c r="A55" s="40"/>
      <c r="B55" s="41"/>
      <c r="F55" t="str">
        <f>IF(E55="","",IFERROR(_xlfn.XLOOKUP(E55,Settings!$F$2:$F$36,Settings!$E$2:$E$36,""),""))</f>
        <v/>
      </c>
    </row>
    <row r="56" spans="1:6" x14ac:dyDescent="0.25">
      <c r="A56" s="40"/>
      <c r="B56" s="41"/>
      <c r="F56" t="str">
        <f>IF(E56="","",IFERROR(_xlfn.XLOOKUP(E56,Settings!$F$2:$F$36,Settings!$E$2:$E$36,""),""))</f>
        <v/>
      </c>
    </row>
    <row r="57" spans="1:6" x14ac:dyDescent="0.25">
      <c r="A57" s="40"/>
      <c r="B57" s="41"/>
      <c r="F57" t="str">
        <f>IF(E57="","",IFERROR(_xlfn.XLOOKUP(E57,Settings!$F$2:$F$36,Settings!$E$2:$E$36,""),""))</f>
        <v/>
      </c>
    </row>
    <row r="58" spans="1:6" x14ac:dyDescent="0.25">
      <c r="A58" s="40"/>
      <c r="B58" s="41"/>
      <c r="F58" t="str">
        <f>IF(E58="","",IFERROR(_xlfn.XLOOKUP(E58,Settings!$F$2:$F$36,Settings!$E$2:$E$36,""),""))</f>
        <v/>
      </c>
    </row>
    <row r="59" spans="1:6" x14ac:dyDescent="0.25">
      <c r="A59" s="40"/>
      <c r="B59" s="41"/>
      <c r="F59" t="str">
        <f>IF(E59="","",IFERROR(_xlfn.XLOOKUP(E59,Settings!$F$2:$F$36,Settings!$E$2:$E$36,""),""))</f>
        <v/>
      </c>
    </row>
    <row r="60" spans="1:6" x14ac:dyDescent="0.25">
      <c r="A60" s="40"/>
      <c r="B60" s="41"/>
      <c r="F60" t="str">
        <f>IF(E60="","",IFERROR(_xlfn.XLOOKUP(E60,Settings!$F$2:$F$36,Settings!$E$2:$E$36,""),""))</f>
        <v/>
      </c>
    </row>
    <row r="61" spans="1:6" x14ac:dyDescent="0.25">
      <c r="A61" s="40"/>
      <c r="B61" s="41"/>
      <c r="F61" t="str">
        <f>IF(E61="","",IFERROR(_xlfn.XLOOKUP(E61,Settings!$F$2:$F$36,Settings!$E$2:$E$36,""),""))</f>
        <v/>
      </c>
    </row>
    <row r="62" spans="1:6" x14ac:dyDescent="0.25">
      <c r="A62" s="40"/>
      <c r="B62" s="41"/>
      <c r="F62" t="str">
        <f>IF(E62="","",IFERROR(_xlfn.XLOOKUP(E62,Settings!$F$2:$F$36,Settings!$E$2:$E$36,""),""))</f>
        <v/>
      </c>
    </row>
    <row r="63" spans="1:6" x14ac:dyDescent="0.25">
      <c r="A63" s="40"/>
      <c r="B63" s="41"/>
      <c r="F63" t="str">
        <f>IF(E63="","",IFERROR(_xlfn.XLOOKUP(E63,Settings!$F$2:$F$36,Settings!$E$2:$E$36,""),""))</f>
        <v/>
      </c>
    </row>
    <row r="64" spans="1:6" x14ac:dyDescent="0.25">
      <c r="A64" s="40"/>
      <c r="B64" s="41"/>
      <c r="F64" t="str">
        <f>IF(E64="","",IFERROR(_xlfn.XLOOKUP(E64,Settings!$F$2:$F$36,Settings!$E$2:$E$36,""),""))</f>
        <v/>
      </c>
    </row>
    <row r="65" spans="1:6" x14ac:dyDescent="0.25">
      <c r="A65" s="40"/>
      <c r="B65" s="41"/>
      <c r="F65" t="str">
        <f>IF(E65="","",IFERROR(_xlfn.XLOOKUP(E65,Settings!$F$2:$F$36,Settings!$E$2:$E$36,""),""))</f>
        <v/>
      </c>
    </row>
    <row r="66" spans="1:6" x14ac:dyDescent="0.25">
      <c r="A66" s="40"/>
      <c r="B66" s="41"/>
      <c r="F66" t="str">
        <f>IF(E66="","",IFERROR(_xlfn.XLOOKUP(E66,Settings!$F$2:$F$36,Settings!$E$2:$E$36,""),""))</f>
        <v/>
      </c>
    </row>
    <row r="67" spans="1:6" x14ac:dyDescent="0.25">
      <c r="A67" s="40"/>
      <c r="B67" s="41"/>
      <c r="F67" t="str">
        <f>IF(E67="","",IFERROR(_xlfn.XLOOKUP(E67,Settings!$F$2:$F$36,Settings!$E$2:$E$36,""),""))</f>
        <v/>
      </c>
    </row>
    <row r="68" spans="1:6" x14ac:dyDescent="0.25">
      <c r="A68" s="40"/>
      <c r="B68" s="41"/>
      <c r="F68" t="str">
        <f>IF(E68="","",IFERROR(_xlfn.XLOOKUP(E68,Settings!$F$2:$F$36,Settings!$E$2:$E$36,""),""))</f>
        <v/>
      </c>
    </row>
    <row r="69" spans="1:6" x14ac:dyDescent="0.25">
      <c r="A69" s="40"/>
      <c r="B69" s="41"/>
      <c r="F69" t="str">
        <f>IF(E69="","",IFERROR(_xlfn.XLOOKUP(E69,Settings!$F$2:$F$36,Settings!$E$2:$E$36,""),""))</f>
        <v/>
      </c>
    </row>
    <row r="70" spans="1:6" x14ac:dyDescent="0.25">
      <c r="A70" s="40"/>
      <c r="B70" s="41"/>
      <c r="F70" t="str">
        <f>IF(E70="","",IFERROR(_xlfn.XLOOKUP(E70,Settings!$F$2:$F$36,Settings!$E$2:$E$36,""),""))</f>
        <v/>
      </c>
    </row>
    <row r="71" spans="1:6" x14ac:dyDescent="0.25">
      <c r="A71" s="40"/>
      <c r="B71" s="41"/>
      <c r="F71" t="str">
        <f>IF(E71="","",IFERROR(_xlfn.XLOOKUP(E71,Settings!$F$2:$F$36,Settings!$E$2:$E$36,""),""))</f>
        <v/>
      </c>
    </row>
    <row r="72" spans="1:6" x14ac:dyDescent="0.25">
      <c r="A72" s="40"/>
      <c r="B72" s="41"/>
      <c r="F72" t="str">
        <f>IF(E72="","",IFERROR(_xlfn.XLOOKUP(E72,Settings!$F$2:$F$36,Settings!$E$2:$E$36,""),""))</f>
        <v/>
      </c>
    </row>
    <row r="73" spans="1:6" x14ac:dyDescent="0.25">
      <c r="A73" s="40"/>
      <c r="B73" s="41"/>
      <c r="F73" t="str">
        <f>IF(E73="","",IFERROR(_xlfn.XLOOKUP(E73,Settings!$F$2:$F$36,Settings!$E$2:$E$36,""),""))</f>
        <v/>
      </c>
    </row>
    <row r="74" spans="1:6" x14ac:dyDescent="0.25">
      <c r="A74" s="40"/>
      <c r="B74" s="41"/>
      <c r="F74" t="str">
        <f>IF(E74="","",IFERROR(_xlfn.XLOOKUP(E74,Settings!$F$2:$F$36,Settings!$E$2:$E$36,""),""))</f>
        <v/>
      </c>
    </row>
    <row r="75" spans="1:6" x14ac:dyDescent="0.25">
      <c r="A75" s="40"/>
      <c r="B75" s="41"/>
      <c r="F75" t="str">
        <f>IF(E75="","",IFERROR(_xlfn.XLOOKUP(E75,Settings!$F$2:$F$36,Settings!$E$2:$E$36,""),""))</f>
        <v/>
      </c>
    </row>
    <row r="76" spans="1:6" x14ac:dyDescent="0.25">
      <c r="A76" s="40"/>
      <c r="B76" s="41"/>
      <c r="F76" t="str">
        <f>IF(E76="","",IFERROR(_xlfn.XLOOKUP(E76,Settings!$F$2:$F$36,Settings!$E$2:$E$36,""),""))</f>
        <v/>
      </c>
    </row>
    <row r="77" spans="1:6" x14ac:dyDescent="0.25">
      <c r="A77" s="40"/>
      <c r="B77" s="41"/>
      <c r="F77" t="str">
        <f>IF(E77="","",IFERROR(_xlfn.XLOOKUP(E77,Settings!$F$2:$F$36,Settings!$E$2:$E$36,""),""))</f>
        <v/>
      </c>
    </row>
    <row r="78" spans="1:6" x14ac:dyDescent="0.25">
      <c r="A78" s="40"/>
      <c r="B78" s="41"/>
      <c r="F78" t="str">
        <f>IF(E78="","",IFERROR(_xlfn.XLOOKUP(E78,Settings!$F$2:$F$36,Settings!$E$2:$E$36,""),""))</f>
        <v/>
      </c>
    </row>
    <row r="79" spans="1:6" x14ac:dyDescent="0.25">
      <c r="A79" s="40"/>
      <c r="B79" s="41"/>
      <c r="F79" t="str">
        <f>IF(E79="","",IFERROR(_xlfn.XLOOKUP(E79,Settings!$F$2:$F$36,Settings!$E$2:$E$36,""),""))</f>
        <v/>
      </c>
    </row>
    <row r="80" spans="1:6" x14ac:dyDescent="0.25">
      <c r="A80" s="40"/>
      <c r="B80" s="41"/>
      <c r="F80" t="str">
        <f>IF(E80="","",IFERROR(_xlfn.XLOOKUP(E80,Settings!$F$2:$F$36,Settings!$E$2:$E$36,""),""))</f>
        <v/>
      </c>
    </row>
    <row r="81" spans="1:6" x14ac:dyDescent="0.25">
      <c r="A81" s="40"/>
      <c r="B81" s="41"/>
      <c r="F81" t="str">
        <f>IF(E81="","",IFERROR(_xlfn.XLOOKUP(E81,Settings!$F$2:$F$36,Settings!$E$2:$E$36,""),""))</f>
        <v/>
      </c>
    </row>
    <row r="82" spans="1:6" x14ac:dyDescent="0.25">
      <c r="A82" s="40"/>
      <c r="B82" s="41"/>
      <c r="F82" t="str">
        <f>IF(E82="","",IFERROR(_xlfn.XLOOKUP(E82,Settings!$F$2:$F$36,Settings!$E$2:$E$36,""),""))</f>
        <v/>
      </c>
    </row>
    <row r="83" spans="1:6" x14ac:dyDescent="0.25">
      <c r="A83" s="40"/>
      <c r="B83" s="41"/>
      <c r="F83" t="str">
        <f>IF(E83="","",IFERROR(_xlfn.XLOOKUP(E83,Settings!$F$2:$F$36,Settings!$E$2:$E$36,""),""))</f>
        <v/>
      </c>
    </row>
    <row r="84" spans="1:6" x14ac:dyDescent="0.25">
      <c r="A84" s="40"/>
      <c r="B84" s="41"/>
      <c r="F84" t="str">
        <f>IF(E84="","",IFERROR(_xlfn.XLOOKUP(E84,Settings!$F$2:$F$36,Settings!$E$2:$E$36,""),""))</f>
        <v/>
      </c>
    </row>
    <row r="85" spans="1:6" x14ac:dyDescent="0.25">
      <c r="A85" s="40"/>
      <c r="B85" s="41"/>
      <c r="F85" t="str">
        <f>IF(E85="","",IFERROR(_xlfn.XLOOKUP(E85,Settings!$F$2:$F$36,Settings!$E$2:$E$36,""),""))</f>
        <v/>
      </c>
    </row>
    <row r="86" spans="1:6" x14ac:dyDescent="0.25">
      <c r="A86" s="40"/>
      <c r="B86" s="41"/>
      <c r="F86" t="str">
        <f>IF(E86="","",IFERROR(_xlfn.XLOOKUP(E86,Settings!$F$2:$F$36,Settings!$E$2:$E$36,""),""))</f>
        <v/>
      </c>
    </row>
    <row r="87" spans="1:6" x14ac:dyDescent="0.25">
      <c r="A87" s="40"/>
      <c r="B87" s="41"/>
      <c r="F87" t="str">
        <f>IF(E87="","",IFERROR(_xlfn.XLOOKUP(E87,Settings!$F$2:$F$36,Settings!$E$2:$E$36,""),""))</f>
        <v/>
      </c>
    </row>
    <row r="88" spans="1:6" x14ac:dyDescent="0.25">
      <c r="A88" s="40"/>
      <c r="B88" s="41"/>
      <c r="F88" t="str">
        <f>IF(E88="","",IFERROR(_xlfn.XLOOKUP(E88,Settings!$F$2:$F$36,Settings!$E$2:$E$36,""),""))</f>
        <v/>
      </c>
    </row>
    <row r="89" spans="1:6" x14ac:dyDescent="0.25">
      <c r="A89" s="40"/>
      <c r="B89" s="41"/>
      <c r="F89" t="str">
        <f>IF(E89="","",IFERROR(_xlfn.XLOOKUP(E89,Settings!$F$2:$F$36,Settings!$E$2:$E$36,""),""))</f>
        <v/>
      </c>
    </row>
    <row r="90" spans="1:6" x14ac:dyDescent="0.25">
      <c r="A90" s="40"/>
      <c r="B90" s="41"/>
      <c r="F90" t="str">
        <f>IF(E90="","",IFERROR(_xlfn.XLOOKUP(E90,Settings!$F$2:$F$36,Settings!$E$2:$E$36,""),""))</f>
        <v/>
      </c>
    </row>
    <row r="91" spans="1:6" x14ac:dyDescent="0.25">
      <c r="A91" s="40"/>
      <c r="B91" s="41"/>
      <c r="F91" t="str">
        <f>IF(E91="","",IFERROR(_xlfn.XLOOKUP(E91,Settings!$F$2:$F$36,Settings!$E$2:$E$36,""),""))</f>
        <v/>
      </c>
    </row>
    <row r="92" spans="1:6" x14ac:dyDescent="0.25">
      <c r="A92" s="40"/>
      <c r="B92" s="41"/>
      <c r="F92" t="str">
        <f>IF(E92="","",IFERROR(_xlfn.XLOOKUP(E92,Settings!$F$2:$F$36,Settings!$E$2:$E$36,""),""))</f>
        <v/>
      </c>
    </row>
    <row r="93" spans="1:6" x14ac:dyDescent="0.25">
      <c r="A93" s="40"/>
      <c r="B93" s="41"/>
      <c r="F93" t="str">
        <f>IF(E93="","",IFERROR(_xlfn.XLOOKUP(E93,Settings!$F$2:$F$36,Settings!$E$2:$E$36,""),""))</f>
        <v/>
      </c>
    </row>
    <row r="94" spans="1:6" x14ac:dyDescent="0.25">
      <c r="A94" s="40"/>
      <c r="B94" s="41"/>
      <c r="F94" t="str">
        <f>IF(E94="","",IFERROR(_xlfn.XLOOKUP(E94,Settings!$F$2:$F$36,Settings!$E$2:$E$36,""),""))</f>
        <v/>
      </c>
    </row>
    <row r="95" spans="1:6" x14ac:dyDescent="0.25">
      <c r="A95" s="40"/>
      <c r="B95" s="41"/>
      <c r="F95" t="str">
        <f>IF(E95="","",IFERROR(_xlfn.XLOOKUP(E95,Settings!$F$2:$F$36,Settings!$E$2:$E$36,""),""))</f>
        <v/>
      </c>
    </row>
    <row r="96" spans="1:6" x14ac:dyDescent="0.25">
      <c r="A96" s="40"/>
      <c r="B96" s="41"/>
      <c r="F96" t="str">
        <f>IF(E96="","",IFERROR(_xlfn.XLOOKUP(E96,Settings!$F$2:$F$36,Settings!$E$2:$E$36,""),""))</f>
        <v/>
      </c>
    </row>
    <row r="97" spans="1:6" x14ac:dyDescent="0.25">
      <c r="A97" s="40"/>
      <c r="B97" s="41"/>
      <c r="F97" t="str">
        <f>IF(E97="","",IFERROR(_xlfn.XLOOKUP(E97,Settings!$F$2:$F$36,Settings!$E$2:$E$36,""),""))</f>
        <v/>
      </c>
    </row>
    <row r="98" spans="1:6" x14ac:dyDescent="0.25">
      <c r="A98" s="40"/>
      <c r="B98" s="41"/>
      <c r="F98" t="str">
        <f>IF(E98="","",IFERROR(_xlfn.XLOOKUP(E98,Settings!$F$2:$F$36,Settings!$E$2:$E$36,""),""))</f>
        <v/>
      </c>
    </row>
    <row r="99" spans="1:6" x14ac:dyDescent="0.25">
      <c r="A99" s="40"/>
      <c r="B99" s="41"/>
      <c r="F99" t="str">
        <f>IF(E99="","",IFERROR(_xlfn.XLOOKUP(E99,Settings!$F$2:$F$36,Settings!$E$2:$E$36,""),""))</f>
        <v/>
      </c>
    </row>
    <row r="100" spans="1:6" x14ac:dyDescent="0.25">
      <c r="A100" s="40"/>
      <c r="B100" s="41"/>
      <c r="F100" t="str">
        <f>IF(E100="","",IFERROR(_xlfn.XLOOKUP(E100,Settings!$F$2:$F$36,Settings!$E$2:$E$36,""),""))</f>
        <v/>
      </c>
    </row>
    <row r="101" spans="1:6" x14ac:dyDescent="0.25">
      <c r="A101" s="40"/>
      <c r="B101" s="41"/>
      <c r="F101" t="str">
        <f>IF(E101="","",IFERROR(_xlfn.XLOOKUP(E101,Settings!$F$2:$F$36,Settings!$E$2:$E$36,""),""))</f>
        <v/>
      </c>
    </row>
    <row r="102" spans="1:6" x14ac:dyDescent="0.25">
      <c r="A102" s="40"/>
      <c r="B102" s="41"/>
      <c r="F102" t="str">
        <f>IF(E102="","",IFERROR(_xlfn.XLOOKUP(E102,Settings!$F$2:$F$36,Settings!$E$2:$E$36,""),""))</f>
        <v/>
      </c>
    </row>
    <row r="103" spans="1:6" x14ac:dyDescent="0.25">
      <c r="A103" s="40"/>
      <c r="B103" s="41"/>
      <c r="F103" t="str">
        <f>IF(E103="","",IFERROR(_xlfn.XLOOKUP(E103,Settings!$F$2:$F$36,Settings!$E$2:$E$36,""),""))</f>
        <v/>
      </c>
    </row>
    <row r="104" spans="1:6" x14ac:dyDescent="0.25">
      <c r="A104" s="40"/>
      <c r="B104" s="41"/>
      <c r="F104" t="str">
        <f>IF(E104="","",IFERROR(_xlfn.XLOOKUP(E104,Settings!$F$2:$F$36,Settings!$E$2:$E$36,""),""))</f>
        <v/>
      </c>
    </row>
    <row r="105" spans="1:6" x14ac:dyDescent="0.25">
      <c r="A105" s="40"/>
      <c r="B105" s="41"/>
      <c r="F105" t="str">
        <f>IF(E105="","",IFERROR(_xlfn.XLOOKUP(E105,Settings!$F$2:$F$36,Settings!$E$2:$E$36,""),""))</f>
        <v/>
      </c>
    </row>
    <row r="106" spans="1:6" x14ac:dyDescent="0.25">
      <c r="A106" s="40"/>
      <c r="B106" s="41"/>
      <c r="F106" t="str">
        <f>IF(E106="","",IFERROR(_xlfn.XLOOKUP(E106,Settings!$F$2:$F$36,Settings!$E$2:$E$36,""),""))</f>
        <v/>
      </c>
    </row>
    <row r="107" spans="1:6" x14ac:dyDescent="0.25">
      <c r="A107" s="40"/>
      <c r="B107" s="41"/>
      <c r="F107" t="str">
        <f>IF(E107="","",IFERROR(_xlfn.XLOOKUP(E107,Settings!$F$2:$F$36,Settings!$E$2:$E$36,""),""))</f>
        <v/>
      </c>
    </row>
    <row r="108" spans="1:6" x14ac:dyDescent="0.25">
      <c r="A108" s="40"/>
      <c r="B108" s="41"/>
      <c r="F108" t="str">
        <f>IF(E108="","",IFERROR(_xlfn.XLOOKUP(E108,Settings!$F$2:$F$36,Settings!$E$2:$E$36,""),""))</f>
        <v/>
      </c>
    </row>
    <row r="109" spans="1:6" x14ac:dyDescent="0.25">
      <c r="A109" s="40"/>
      <c r="B109" s="41"/>
      <c r="F109" t="str">
        <f>IF(E109="","",IFERROR(_xlfn.XLOOKUP(E109,Settings!$F$2:$F$36,Settings!$E$2:$E$36,""),""))</f>
        <v/>
      </c>
    </row>
    <row r="110" spans="1:6" x14ac:dyDescent="0.25">
      <c r="A110" s="40"/>
      <c r="B110" s="41"/>
      <c r="F110" t="str">
        <f>IF(E110="","",IFERROR(_xlfn.XLOOKUP(E110,Settings!$F$2:$F$36,Settings!$E$2:$E$36,""),""))</f>
        <v/>
      </c>
    </row>
    <row r="111" spans="1:6" x14ac:dyDescent="0.25">
      <c r="A111" s="40"/>
      <c r="B111" s="41"/>
      <c r="F111" t="str">
        <f>IF(E111="","",IFERROR(_xlfn.XLOOKUP(E111,Settings!$F$2:$F$36,Settings!$E$2:$E$36,""),""))</f>
        <v/>
      </c>
    </row>
    <row r="112" spans="1:6" x14ac:dyDescent="0.25">
      <c r="A112" s="40"/>
      <c r="B112" s="41"/>
      <c r="F112" t="str">
        <f>IF(E112="","",IFERROR(_xlfn.XLOOKUP(E112,Settings!$F$2:$F$36,Settings!$E$2:$E$36,""),""))</f>
        <v/>
      </c>
    </row>
    <row r="113" spans="1:6" x14ac:dyDescent="0.25">
      <c r="A113" s="40"/>
      <c r="B113" s="41"/>
      <c r="F113" t="str">
        <f>IF(E113="","",IFERROR(_xlfn.XLOOKUP(E113,Settings!$F$2:$F$36,Settings!$E$2:$E$36,""),""))</f>
        <v/>
      </c>
    </row>
    <row r="114" spans="1:6" x14ac:dyDescent="0.25">
      <c r="A114" s="40"/>
      <c r="B114" s="41"/>
      <c r="F114" t="str">
        <f>IF(E114="","",IFERROR(_xlfn.XLOOKUP(E114,Settings!$F$2:$F$36,Settings!$E$2:$E$36,""),""))</f>
        <v/>
      </c>
    </row>
    <row r="115" spans="1:6" x14ac:dyDescent="0.25">
      <c r="A115" s="40"/>
      <c r="B115" s="41"/>
      <c r="F115" t="str">
        <f>IF(E115="","",IFERROR(_xlfn.XLOOKUP(E115,Settings!$F$2:$F$36,Settings!$E$2:$E$36,""),""))</f>
        <v/>
      </c>
    </row>
    <row r="116" spans="1:6" x14ac:dyDescent="0.25">
      <c r="A116" s="40"/>
      <c r="B116" s="41"/>
      <c r="F116" t="str">
        <f>IF(E116="","",IFERROR(_xlfn.XLOOKUP(E116,Settings!$F$2:$F$36,Settings!$E$2:$E$36,""),""))</f>
        <v/>
      </c>
    </row>
    <row r="117" spans="1:6" x14ac:dyDescent="0.25">
      <c r="A117" s="40"/>
      <c r="B117" s="41"/>
      <c r="F117" t="str">
        <f>IF(E117="","",IFERROR(_xlfn.XLOOKUP(E117,Settings!$F$2:$F$36,Settings!$E$2:$E$36,""),""))</f>
        <v/>
      </c>
    </row>
    <row r="118" spans="1:6" x14ac:dyDescent="0.25">
      <c r="A118" s="40"/>
      <c r="B118" s="41"/>
      <c r="F118" t="str">
        <f>IF(E118="","",IFERROR(_xlfn.XLOOKUP(E118,Settings!$F$2:$F$36,Settings!$E$2:$E$36,""),""))</f>
        <v/>
      </c>
    </row>
    <row r="119" spans="1:6" x14ac:dyDescent="0.25">
      <c r="A119" s="40"/>
      <c r="B119" s="41"/>
      <c r="F119" t="str">
        <f>IF(E119="","",IFERROR(_xlfn.XLOOKUP(E119,Settings!$F$2:$F$36,Settings!$E$2:$E$36,""),""))</f>
        <v/>
      </c>
    </row>
    <row r="120" spans="1:6" x14ac:dyDescent="0.25">
      <c r="A120" s="40"/>
      <c r="B120" s="41"/>
      <c r="F120" t="str">
        <f>IF(E120="","",IFERROR(_xlfn.XLOOKUP(E120,Settings!$F$2:$F$36,Settings!$E$2:$E$36,""),""))</f>
        <v/>
      </c>
    </row>
    <row r="121" spans="1:6" x14ac:dyDescent="0.25">
      <c r="A121" s="40"/>
      <c r="B121" s="41"/>
      <c r="F121" t="str">
        <f>IF(E121="","",IFERROR(_xlfn.XLOOKUP(E121,Settings!$F$2:$F$36,Settings!$E$2:$E$36,""),""))</f>
        <v/>
      </c>
    </row>
    <row r="122" spans="1:6" x14ac:dyDescent="0.25">
      <c r="A122" s="40"/>
      <c r="B122" s="41"/>
      <c r="F122" t="str">
        <f>IF(E122="","",IFERROR(_xlfn.XLOOKUP(E122,Settings!$F$2:$F$36,Settings!$E$2:$E$36,""),""))</f>
        <v/>
      </c>
    </row>
    <row r="123" spans="1:6" x14ac:dyDescent="0.25">
      <c r="A123" s="40"/>
      <c r="B123" s="41"/>
      <c r="F123" t="str">
        <f>IF(E123="","",IFERROR(_xlfn.XLOOKUP(E123,Settings!$F$2:$F$36,Settings!$E$2:$E$36,""),""))</f>
        <v/>
      </c>
    </row>
    <row r="124" spans="1:6" x14ac:dyDescent="0.25">
      <c r="A124" s="40"/>
      <c r="B124" s="41"/>
      <c r="F124" t="str">
        <f>IF(E124="","",IFERROR(_xlfn.XLOOKUP(E124,Settings!$F$2:$F$36,Settings!$E$2:$E$36,""),""))</f>
        <v/>
      </c>
    </row>
    <row r="125" spans="1:6" x14ac:dyDescent="0.25">
      <c r="A125" s="40"/>
      <c r="B125" s="41"/>
      <c r="F125" t="str">
        <f>IF(E125="","",IFERROR(_xlfn.XLOOKUP(E125,Settings!$F$2:$F$36,Settings!$E$2:$E$36,""),""))</f>
        <v/>
      </c>
    </row>
    <row r="126" spans="1:6" x14ac:dyDescent="0.25">
      <c r="A126" s="40"/>
      <c r="B126" s="41"/>
      <c r="F126" t="str">
        <f>IF(E126="","",IFERROR(_xlfn.XLOOKUP(E126,Settings!$F$2:$F$36,Settings!$E$2:$E$36,""),""))</f>
        <v/>
      </c>
    </row>
    <row r="127" spans="1:6" x14ac:dyDescent="0.25">
      <c r="A127" s="40"/>
      <c r="B127" s="41"/>
      <c r="F127" t="str">
        <f>IF(E127="","",IFERROR(_xlfn.XLOOKUP(E127,Settings!$F$2:$F$36,Settings!$E$2:$E$36,""),""))</f>
        <v/>
      </c>
    </row>
    <row r="128" spans="1:6" x14ac:dyDescent="0.25">
      <c r="A128" s="40"/>
      <c r="B128" s="41"/>
      <c r="F128" t="str">
        <f>IF(E128="","",IFERROR(_xlfn.XLOOKUP(E128,Settings!$F$2:$F$36,Settings!$E$2:$E$36,""),""))</f>
        <v/>
      </c>
    </row>
    <row r="129" spans="1:6" x14ac:dyDescent="0.25">
      <c r="A129" s="40"/>
      <c r="B129" s="41"/>
      <c r="F129" t="str">
        <f>IF(E129="","",IFERROR(_xlfn.XLOOKUP(E129,Settings!$F$2:$F$36,Settings!$E$2:$E$36,""),""))</f>
        <v/>
      </c>
    </row>
    <row r="130" spans="1:6" x14ac:dyDescent="0.25">
      <c r="A130" s="40"/>
      <c r="B130" s="41"/>
      <c r="F130" t="str">
        <f>IF(E130="","",IFERROR(_xlfn.XLOOKUP(E130,Settings!$F$2:$F$36,Settings!$E$2:$E$36,""),""))</f>
        <v/>
      </c>
    </row>
    <row r="131" spans="1:6" x14ac:dyDescent="0.25">
      <c r="A131" s="40"/>
      <c r="B131" s="41"/>
      <c r="F131" t="str">
        <f>IF(E131="","",IFERROR(_xlfn.XLOOKUP(E131,Settings!$F$2:$F$36,Settings!$E$2:$E$36,""),""))</f>
        <v/>
      </c>
    </row>
    <row r="132" spans="1:6" x14ac:dyDescent="0.25">
      <c r="A132" s="40"/>
      <c r="B132" s="41"/>
      <c r="F132" t="str">
        <f>IF(E132="","",IFERROR(_xlfn.XLOOKUP(E132,Settings!$F$2:$F$36,Settings!$E$2:$E$36,""),""))</f>
        <v/>
      </c>
    </row>
    <row r="133" spans="1:6" x14ac:dyDescent="0.25">
      <c r="A133" s="40"/>
      <c r="B133" s="41"/>
      <c r="F133" t="str">
        <f>IF(E133="","",IFERROR(_xlfn.XLOOKUP(E133,Settings!$F$2:$F$36,Settings!$E$2:$E$36,""),""))</f>
        <v/>
      </c>
    </row>
    <row r="134" spans="1:6" x14ac:dyDescent="0.25">
      <c r="A134" s="40"/>
      <c r="B134" s="41"/>
      <c r="F134" t="str">
        <f>IF(E134="","",IFERROR(_xlfn.XLOOKUP(E134,Settings!$F$2:$F$36,Settings!$E$2:$E$36,""),""))</f>
        <v/>
      </c>
    </row>
    <row r="135" spans="1:6" x14ac:dyDescent="0.25">
      <c r="A135" s="40"/>
      <c r="B135" s="41"/>
      <c r="F135" t="str">
        <f>IF(E135="","",IFERROR(_xlfn.XLOOKUP(E135,Settings!$F$2:$F$36,Settings!$E$2:$E$36,""),""))</f>
        <v/>
      </c>
    </row>
    <row r="136" spans="1:6" x14ac:dyDescent="0.25">
      <c r="A136" s="40"/>
      <c r="B136" s="41"/>
      <c r="F136" t="str">
        <f>IF(E136="","",IFERROR(_xlfn.XLOOKUP(E136,Settings!$F$2:$F$36,Settings!$E$2:$E$36,""),""))</f>
        <v/>
      </c>
    </row>
    <row r="137" spans="1:6" x14ac:dyDescent="0.25">
      <c r="A137" s="40"/>
      <c r="B137" s="41"/>
      <c r="F137" t="str">
        <f>IF(E137="","",IFERROR(_xlfn.XLOOKUP(E137,Settings!$F$2:$F$36,Settings!$E$2:$E$36,""),""))</f>
        <v/>
      </c>
    </row>
    <row r="138" spans="1:6" x14ac:dyDescent="0.25">
      <c r="A138" s="40"/>
      <c r="B138" s="41"/>
      <c r="F138" t="str">
        <f>IF(E138="","",IFERROR(_xlfn.XLOOKUP(E138,Settings!$F$2:$F$36,Settings!$E$2:$E$36,""),""))</f>
        <v/>
      </c>
    </row>
    <row r="139" spans="1:6" x14ac:dyDescent="0.25">
      <c r="A139" s="40"/>
      <c r="B139" s="41"/>
      <c r="F139" t="str">
        <f>IF(E139="","",IFERROR(_xlfn.XLOOKUP(E139,Settings!$F$2:$F$36,Settings!$E$2:$E$36,""),""))</f>
        <v/>
      </c>
    </row>
    <row r="140" spans="1:6" x14ac:dyDescent="0.25">
      <c r="A140" s="40"/>
      <c r="B140" s="41"/>
      <c r="F140" t="str">
        <f>IF(E140="","",IFERROR(_xlfn.XLOOKUP(E140,Settings!$F$2:$F$36,Settings!$E$2:$E$36,""),""))</f>
        <v/>
      </c>
    </row>
    <row r="141" spans="1:6" x14ac:dyDescent="0.25">
      <c r="A141" s="40"/>
      <c r="B141" s="41"/>
      <c r="F141" t="str">
        <f>IF(E141="","",IFERROR(_xlfn.XLOOKUP(E141,Settings!$F$2:$F$36,Settings!$E$2:$E$36,""),""))</f>
        <v/>
      </c>
    </row>
    <row r="142" spans="1:6" x14ac:dyDescent="0.25">
      <c r="A142" s="40"/>
      <c r="B142" s="41"/>
      <c r="F142" t="str">
        <f>IF(E142="","",IFERROR(_xlfn.XLOOKUP(E142,Settings!$F$2:$F$36,Settings!$E$2:$E$36,""),""))</f>
        <v/>
      </c>
    </row>
    <row r="143" spans="1:6" x14ac:dyDescent="0.25">
      <c r="A143" s="40"/>
      <c r="B143" s="41"/>
      <c r="F143" t="str">
        <f>IF(E143="","",IFERROR(_xlfn.XLOOKUP(E143,Settings!$F$2:$F$36,Settings!$E$2:$E$36,""),""))</f>
        <v/>
      </c>
    </row>
    <row r="144" spans="1:6" x14ac:dyDescent="0.25">
      <c r="A144" s="40"/>
      <c r="B144" s="41"/>
      <c r="F144" t="str">
        <f>IF(E144="","",IFERROR(_xlfn.XLOOKUP(E144,Settings!$F$2:$F$36,Settings!$E$2:$E$36,""),""))</f>
        <v/>
      </c>
    </row>
    <row r="145" spans="1:6" x14ac:dyDescent="0.25">
      <c r="A145" s="40"/>
      <c r="B145" s="41"/>
      <c r="F145" t="str">
        <f>IF(E145="","",IFERROR(_xlfn.XLOOKUP(E145,Settings!$F$2:$F$36,Settings!$E$2:$E$36,""),""))</f>
        <v/>
      </c>
    </row>
    <row r="146" spans="1:6" x14ac:dyDescent="0.25">
      <c r="A146" s="40"/>
      <c r="B146" s="41"/>
      <c r="F146" t="str">
        <f>IF(E146="","",IFERROR(_xlfn.XLOOKUP(E146,Settings!$F$2:$F$36,Settings!$E$2:$E$36,""),""))</f>
        <v/>
      </c>
    </row>
    <row r="147" spans="1:6" x14ac:dyDescent="0.25">
      <c r="A147" s="40"/>
      <c r="B147" s="41"/>
      <c r="F147" t="str">
        <f>IF(E147="","",IFERROR(_xlfn.XLOOKUP(E147,Settings!$F$2:$F$36,Settings!$E$2:$E$36,""),""))</f>
        <v/>
      </c>
    </row>
    <row r="148" spans="1:6" x14ac:dyDescent="0.25">
      <c r="A148" s="40"/>
      <c r="B148" s="41"/>
      <c r="F148" t="str">
        <f>IF(E148="","",IFERROR(_xlfn.XLOOKUP(E148,Settings!$F$2:$F$36,Settings!$E$2:$E$36,""),""))</f>
        <v/>
      </c>
    </row>
    <row r="149" spans="1:6" x14ac:dyDescent="0.25">
      <c r="A149" s="40"/>
      <c r="B149" s="41"/>
      <c r="F149" t="str">
        <f>IF(E149="","",IFERROR(_xlfn.XLOOKUP(E149,Settings!$F$2:$F$36,Settings!$E$2:$E$36,""),""))</f>
        <v/>
      </c>
    </row>
    <row r="150" spans="1:6" x14ac:dyDescent="0.25">
      <c r="A150" s="40"/>
      <c r="B150" s="41"/>
      <c r="F150" t="str">
        <f>IF(E150="","",IFERROR(_xlfn.XLOOKUP(E150,Settings!$F$2:$F$36,Settings!$E$2:$E$36,""),""))</f>
        <v/>
      </c>
    </row>
    <row r="151" spans="1:6" x14ac:dyDescent="0.25">
      <c r="A151" s="40"/>
      <c r="B151" s="41"/>
      <c r="F151" t="str">
        <f>IF(E151="","",IFERROR(_xlfn.XLOOKUP(E151,Settings!$F$2:$F$36,Settings!$E$2:$E$36,""),""))</f>
        <v/>
      </c>
    </row>
    <row r="152" spans="1:6" x14ac:dyDescent="0.25">
      <c r="A152" s="40"/>
      <c r="B152" s="41"/>
      <c r="F152" t="str">
        <f>IF(E152="","",IFERROR(_xlfn.XLOOKUP(E152,Settings!$F$2:$F$36,Settings!$E$2:$E$36,""),""))</f>
        <v/>
      </c>
    </row>
    <row r="153" spans="1:6" x14ac:dyDescent="0.25">
      <c r="A153" s="40"/>
      <c r="B153" s="41"/>
      <c r="F153" t="str">
        <f>IF(E153="","",IFERROR(_xlfn.XLOOKUP(E153,Settings!$F$2:$F$36,Settings!$E$2:$E$36,""),""))</f>
        <v/>
      </c>
    </row>
    <row r="154" spans="1:6" x14ac:dyDescent="0.25">
      <c r="A154" s="40"/>
      <c r="B154" s="41"/>
      <c r="F154" t="str">
        <f>IF(E154="","",IFERROR(_xlfn.XLOOKUP(E154,Settings!$F$2:$F$36,Settings!$E$2:$E$36,""),""))</f>
        <v/>
      </c>
    </row>
    <row r="155" spans="1:6" x14ac:dyDescent="0.25">
      <c r="A155" s="40"/>
      <c r="B155" s="41"/>
      <c r="F155" t="str">
        <f>IF(E155="","",IFERROR(_xlfn.XLOOKUP(E155,Settings!$F$2:$F$36,Settings!$E$2:$E$36,""),""))</f>
        <v/>
      </c>
    </row>
    <row r="156" spans="1:6" x14ac:dyDescent="0.25">
      <c r="A156" s="40"/>
      <c r="B156" s="41"/>
      <c r="F156" t="str">
        <f>IF(E156="","",IFERROR(_xlfn.XLOOKUP(E156,Settings!$F$2:$F$36,Settings!$E$2:$E$36,""),""))</f>
        <v/>
      </c>
    </row>
    <row r="157" spans="1:6" x14ac:dyDescent="0.25">
      <c r="A157" s="40"/>
      <c r="B157" s="41"/>
      <c r="F157" t="str">
        <f>IF(E157="","",IFERROR(_xlfn.XLOOKUP(E157,Settings!$F$2:$F$36,Settings!$E$2:$E$36,""),""))</f>
        <v/>
      </c>
    </row>
    <row r="158" spans="1:6" x14ac:dyDescent="0.25">
      <c r="A158" s="40"/>
      <c r="B158" s="41"/>
      <c r="F158" t="str">
        <f>IF(E158="","",IFERROR(_xlfn.XLOOKUP(E158,Settings!$F$2:$F$36,Settings!$E$2:$E$36,""),""))</f>
        <v/>
      </c>
    </row>
    <row r="159" spans="1:6" x14ac:dyDescent="0.25">
      <c r="A159" s="40"/>
      <c r="B159" s="41"/>
      <c r="F159" t="str">
        <f>IF(E159="","",IFERROR(_xlfn.XLOOKUP(E159,Settings!$F$2:$F$36,Settings!$E$2:$E$36,""),""))</f>
        <v/>
      </c>
    </row>
    <row r="160" spans="1:6" x14ac:dyDescent="0.25">
      <c r="A160" s="40"/>
      <c r="B160" s="41"/>
      <c r="F160" t="str">
        <f>IF(E160="","",IFERROR(_xlfn.XLOOKUP(E160,Settings!$F$2:$F$36,Settings!$E$2:$E$36,""),""))</f>
        <v/>
      </c>
    </row>
    <row r="161" spans="1:6" x14ac:dyDescent="0.25">
      <c r="A161" s="40"/>
      <c r="B161" s="41"/>
      <c r="F161" t="str">
        <f>IF(E161="","",IFERROR(_xlfn.XLOOKUP(E161,Settings!$F$2:$F$36,Settings!$E$2:$E$36,""),""))</f>
        <v/>
      </c>
    </row>
    <row r="162" spans="1:6" x14ac:dyDescent="0.25">
      <c r="A162" s="40"/>
      <c r="B162" s="41"/>
      <c r="F162" t="str">
        <f>IF(E162="","",IFERROR(_xlfn.XLOOKUP(E162,Settings!$F$2:$F$36,Settings!$E$2:$E$36,""),""))</f>
        <v/>
      </c>
    </row>
    <row r="163" spans="1:6" x14ac:dyDescent="0.25">
      <c r="A163" s="40"/>
      <c r="B163" s="41"/>
      <c r="F163" t="str">
        <f>IF(E163="","",IFERROR(_xlfn.XLOOKUP(E163,Settings!$F$2:$F$36,Settings!$E$2:$E$36,""),""))</f>
        <v/>
      </c>
    </row>
    <row r="164" spans="1:6" x14ac:dyDescent="0.25">
      <c r="A164" s="40"/>
      <c r="B164" s="41"/>
      <c r="F164" t="str">
        <f>IF(E164="","",IFERROR(_xlfn.XLOOKUP(E164,Settings!$F$2:$F$36,Settings!$E$2:$E$36,""),""))</f>
        <v/>
      </c>
    </row>
    <row r="165" spans="1:6" x14ac:dyDescent="0.25">
      <c r="A165" s="40"/>
      <c r="B165" s="41"/>
      <c r="F165" t="str">
        <f>IF(E165="","",IFERROR(_xlfn.XLOOKUP(E165,Settings!$F$2:$F$36,Settings!$E$2:$E$36,""),""))</f>
        <v/>
      </c>
    </row>
    <row r="166" spans="1:6" x14ac:dyDescent="0.25">
      <c r="A166" s="40"/>
      <c r="B166" s="41"/>
      <c r="F166" t="str">
        <f>IF(E166="","",IFERROR(_xlfn.XLOOKUP(E166,Settings!$F$2:$F$36,Settings!$E$2:$E$36,""),""))</f>
        <v/>
      </c>
    </row>
    <row r="167" spans="1:6" x14ac:dyDescent="0.25">
      <c r="A167" s="40"/>
      <c r="B167" s="41"/>
      <c r="F167" t="str">
        <f>IF(E167="","",IFERROR(_xlfn.XLOOKUP(E167,Settings!$F$2:$F$36,Settings!$E$2:$E$36,""),""))</f>
        <v/>
      </c>
    </row>
    <row r="168" spans="1:6" x14ac:dyDescent="0.25">
      <c r="A168" s="40"/>
      <c r="B168" s="41"/>
      <c r="F168" t="str">
        <f>IF(E168="","",IFERROR(_xlfn.XLOOKUP(E168,Settings!$F$2:$F$36,Settings!$E$2:$E$36,""),""))</f>
        <v/>
      </c>
    </row>
    <row r="169" spans="1:6" x14ac:dyDescent="0.25">
      <c r="A169" s="40"/>
      <c r="B169" s="41"/>
      <c r="F169" t="str">
        <f>IF(E169="","",IFERROR(_xlfn.XLOOKUP(E169,Settings!$F$2:$F$36,Settings!$E$2:$E$36,""),""))</f>
        <v/>
      </c>
    </row>
    <row r="170" spans="1:6" x14ac:dyDescent="0.25">
      <c r="A170" s="40"/>
      <c r="B170" s="41"/>
      <c r="F170" t="str">
        <f>IF(E170="","",IFERROR(_xlfn.XLOOKUP(E170,Settings!$F$2:$F$36,Settings!$E$2:$E$36,""),""))</f>
        <v/>
      </c>
    </row>
    <row r="171" spans="1:6" x14ac:dyDescent="0.25">
      <c r="A171" s="40"/>
      <c r="B171" s="41"/>
      <c r="F171" t="str">
        <f>IF(E171="","",IFERROR(_xlfn.XLOOKUP(E171,Settings!$F$2:$F$36,Settings!$E$2:$E$36,""),""))</f>
        <v/>
      </c>
    </row>
    <row r="172" spans="1:6" x14ac:dyDescent="0.25">
      <c r="A172" s="40"/>
      <c r="B172" s="41"/>
      <c r="F172" t="str">
        <f>IF(E172="","",IFERROR(_xlfn.XLOOKUP(E172,Settings!$F$2:$F$36,Settings!$E$2:$E$36,""),""))</f>
        <v/>
      </c>
    </row>
    <row r="173" spans="1:6" x14ac:dyDescent="0.25">
      <c r="A173" s="40"/>
      <c r="B173" s="41"/>
      <c r="F173" t="str">
        <f>IF(E173="","",IFERROR(_xlfn.XLOOKUP(E173,Settings!$F$2:$F$36,Settings!$E$2:$E$36,""),""))</f>
        <v/>
      </c>
    </row>
    <row r="174" spans="1:6" x14ac:dyDescent="0.25">
      <c r="A174" s="40"/>
      <c r="B174" s="41"/>
      <c r="F174" t="str">
        <f>IF(E174="","",IFERROR(_xlfn.XLOOKUP(E174,Settings!$F$2:$F$36,Settings!$E$2:$E$36,""),""))</f>
        <v/>
      </c>
    </row>
    <row r="175" spans="1:6" x14ac:dyDescent="0.25">
      <c r="A175" s="40"/>
      <c r="B175" s="41"/>
      <c r="F175" t="str">
        <f>IF(E175="","",IFERROR(_xlfn.XLOOKUP(E175,Settings!$F$2:$F$36,Settings!$E$2:$E$36,""),""))</f>
        <v/>
      </c>
    </row>
    <row r="176" spans="1:6" x14ac:dyDescent="0.25">
      <c r="A176" s="40"/>
      <c r="B176" s="41"/>
      <c r="F176" t="str">
        <f>IF(E176="","",IFERROR(_xlfn.XLOOKUP(E176,Settings!$F$2:$F$36,Settings!$E$2:$E$36,""),""))</f>
        <v/>
      </c>
    </row>
    <row r="177" spans="1:6" x14ac:dyDescent="0.25">
      <c r="A177" s="40"/>
      <c r="B177" s="41"/>
      <c r="F177" t="str">
        <f>IF(E177="","",IFERROR(_xlfn.XLOOKUP(E177,Settings!$F$2:$F$36,Settings!$E$2:$E$36,""),""))</f>
        <v/>
      </c>
    </row>
    <row r="178" spans="1:6" x14ac:dyDescent="0.25">
      <c r="A178" s="40"/>
      <c r="B178" s="41"/>
      <c r="F178" t="str">
        <f>IF(E178="","",IFERROR(_xlfn.XLOOKUP(E178,Settings!$F$2:$F$36,Settings!$E$2:$E$36,""),""))</f>
        <v/>
      </c>
    </row>
    <row r="179" spans="1:6" x14ac:dyDescent="0.25">
      <c r="A179" s="40"/>
      <c r="B179" s="41"/>
      <c r="F179" t="str">
        <f>IF(E179="","",IFERROR(_xlfn.XLOOKUP(E179,Settings!$F$2:$F$36,Settings!$E$2:$E$36,""),""))</f>
        <v/>
      </c>
    </row>
    <row r="180" spans="1:6" x14ac:dyDescent="0.25">
      <c r="A180" s="40"/>
      <c r="B180" s="41"/>
      <c r="F180" t="str">
        <f>IF(E180="","",IFERROR(_xlfn.XLOOKUP(E180,Settings!$F$2:$F$36,Settings!$E$2:$E$36,""),""))</f>
        <v/>
      </c>
    </row>
    <row r="181" spans="1:6" x14ac:dyDescent="0.25">
      <c r="A181" s="40"/>
      <c r="B181" s="41"/>
      <c r="F181" t="str">
        <f>IF(E181="","",IFERROR(_xlfn.XLOOKUP(E181,Settings!$F$2:$F$36,Settings!$E$2:$E$36,""),""))</f>
        <v/>
      </c>
    </row>
    <row r="182" spans="1:6" x14ac:dyDescent="0.25">
      <c r="A182" s="40"/>
      <c r="B182" s="41"/>
      <c r="F182" t="str">
        <f>IF(E182="","",IFERROR(_xlfn.XLOOKUP(E182,Settings!$F$2:$F$36,Settings!$E$2:$E$36,""),""))</f>
        <v/>
      </c>
    </row>
    <row r="183" spans="1:6" x14ac:dyDescent="0.25">
      <c r="A183" s="40"/>
      <c r="B183" s="41"/>
      <c r="F183" t="str">
        <f>IF(E183="","",IFERROR(_xlfn.XLOOKUP(E183,Settings!$F$2:$F$36,Settings!$E$2:$E$36,""),""))</f>
        <v/>
      </c>
    </row>
    <row r="184" spans="1:6" x14ac:dyDescent="0.25">
      <c r="A184" s="40"/>
      <c r="B184" s="41"/>
      <c r="F184" t="str">
        <f>IF(E184="","",IFERROR(_xlfn.XLOOKUP(E184,Settings!$F$2:$F$36,Settings!$E$2:$E$36,""),""))</f>
        <v/>
      </c>
    </row>
    <row r="185" spans="1:6" x14ac:dyDescent="0.25">
      <c r="A185" s="40"/>
      <c r="B185" s="41"/>
      <c r="F185" t="str">
        <f>IF(E185="","",IFERROR(_xlfn.XLOOKUP(E185,Settings!$F$2:$F$36,Settings!$E$2:$E$36,""),""))</f>
        <v/>
      </c>
    </row>
    <row r="186" spans="1:6" x14ac:dyDescent="0.25">
      <c r="A186" s="40"/>
      <c r="B186" s="41"/>
      <c r="F186" t="str">
        <f>IF(E186="","",IFERROR(_xlfn.XLOOKUP(E186,Settings!$F$2:$F$36,Settings!$E$2:$E$36,""),""))</f>
        <v/>
      </c>
    </row>
    <row r="187" spans="1:6" x14ac:dyDescent="0.25">
      <c r="A187" s="40"/>
      <c r="B187" s="41"/>
      <c r="F187" t="str">
        <f>IF(E187="","",IFERROR(_xlfn.XLOOKUP(E187,Settings!$F$2:$F$36,Settings!$E$2:$E$36,""),""))</f>
        <v/>
      </c>
    </row>
    <row r="188" spans="1:6" x14ac:dyDescent="0.25">
      <c r="A188" s="40"/>
      <c r="B188" s="41"/>
      <c r="F188" t="str">
        <f>IF(E188="","",IFERROR(_xlfn.XLOOKUP(E188,Settings!$F$2:$F$36,Settings!$E$2:$E$36,""),""))</f>
        <v/>
      </c>
    </row>
    <row r="189" spans="1:6" x14ac:dyDescent="0.25">
      <c r="A189" s="40"/>
      <c r="B189" s="41"/>
      <c r="F189" t="str">
        <f>IF(E189="","",IFERROR(_xlfn.XLOOKUP(E189,Settings!$F$2:$F$36,Settings!$E$2:$E$36,""),""))</f>
        <v/>
      </c>
    </row>
    <row r="190" spans="1:6" x14ac:dyDescent="0.25">
      <c r="A190" s="40"/>
      <c r="B190" s="41"/>
      <c r="F190" t="str">
        <f>IF(E190="","",IFERROR(_xlfn.XLOOKUP(E190,Settings!$F$2:$F$36,Settings!$E$2:$E$36,""),""))</f>
        <v/>
      </c>
    </row>
    <row r="191" spans="1:6" x14ac:dyDescent="0.25">
      <c r="A191" s="40"/>
      <c r="B191" s="41"/>
      <c r="F191" t="str">
        <f>IF(E191="","",IFERROR(_xlfn.XLOOKUP(E191,Settings!$F$2:$F$36,Settings!$E$2:$E$36,""),""))</f>
        <v/>
      </c>
    </row>
    <row r="192" spans="1:6" x14ac:dyDescent="0.25">
      <c r="A192" s="40"/>
      <c r="B192" s="41"/>
      <c r="F192" t="str">
        <f>IF(E192="","",IFERROR(_xlfn.XLOOKUP(E192,Settings!$F$2:$F$36,Settings!$E$2:$E$36,""),""))</f>
        <v/>
      </c>
    </row>
    <row r="193" spans="1:6" x14ac:dyDescent="0.25">
      <c r="A193" s="40"/>
      <c r="B193" s="41"/>
      <c r="F193" t="str">
        <f>IF(E193="","",IFERROR(_xlfn.XLOOKUP(E193,Settings!$F$2:$F$36,Settings!$E$2:$E$36,""),""))</f>
        <v/>
      </c>
    </row>
    <row r="194" spans="1:6" x14ac:dyDescent="0.25">
      <c r="A194" s="40"/>
      <c r="B194" s="41"/>
      <c r="F194" t="str">
        <f>IF(E194="","",IFERROR(_xlfn.XLOOKUP(E194,Settings!$F$2:$F$36,Settings!$E$2:$E$36,""),""))</f>
        <v/>
      </c>
    </row>
    <row r="195" spans="1:6" x14ac:dyDescent="0.25">
      <c r="A195" s="40"/>
      <c r="B195" s="41"/>
      <c r="F195" t="str">
        <f>IF(E195="","",IFERROR(_xlfn.XLOOKUP(E195,Settings!$F$2:$F$36,Settings!$E$2:$E$36,""),""))</f>
        <v/>
      </c>
    </row>
    <row r="196" spans="1:6" x14ac:dyDescent="0.25">
      <c r="A196" s="40"/>
      <c r="B196" s="41"/>
      <c r="F196" t="str">
        <f>IF(E196="","",IFERROR(_xlfn.XLOOKUP(E196,Settings!$F$2:$F$36,Settings!$E$2:$E$36,""),""))</f>
        <v/>
      </c>
    </row>
    <row r="197" spans="1:6" x14ac:dyDescent="0.25">
      <c r="A197" s="40"/>
      <c r="B197" s="41"/>
      <c r="F197" t="str">
        <f>IF(E197="","",IFERROR(_xlfn.XLOOKUP(E197,Settings!$F$2:$F$36,Settings!$E$2:$E$36,""),""))</f>
        <v/>
      </c>
    </row>
    <row r="198" spans="1:6" x14ac:dyDescent="0.25">
      <c r="A198" s="40"/>
      <c r="B198" s="41"/>
      <c r="F198" t="str">
        <f>IF(E198="","",IFERROR(_xlfn.XLOOKUP(E198,Settings!$F$2:$F$36,Settings!$E$2:$E$36,""),""))</f>
        <v/>
      </c>
    </row>
    <row r="199" spans="1:6" x14ac:dyDescent="0.25">
      <c r="A199" s="40"/>
      <c r="B199" s="41"/>
      <c r="F199" t="str">
        <f>IF(E199="","",IFERROR(_xlfn.XLOOKUP(E199,Settings!$F$2:$F$36,Settings!$E$2:$E$36,""),""))</f>
        <v/>
      </c>
    </row>
    <row r="200" spans="1:6" x14ac:dyDescent="0.25">
      <c r="A200" s="40"/>
      <c r="B200" s="41"/>
      <c r="F200" t="str">
        <f>IF(E200="","",IFERROR(_xlfn.XLOOKUP(E200,Settings!$F$2:$F$36,Settings!$E$2:$E$36,""),""))</f>
        <v/>
      </c>
    </row>
    <row r="201" spans="1:6" x14ac:dyDescent="0.25">
      <c r="A201" s="40"/>
      <c r="B201" s="41"/>
      <c r="F201" t="str">
        <f>IF(E201="","",IFERROR(_xlfn.XLOOKUP(E201,Settings!$F$2:$F$36,Settings!$E$2:$E$36,""),""))</f>
        <v/>
      </c>
    </row>
    <row r="202" spans="1:6" x14ac:dyDescent="0.25">
      <c r="A202" s="40"/>
      <c r="B202" s="41"/>
      <c r="F202" t="str">
        <f>IF(E202="","",IFERROR(_xlfn.XLOOKUP(E202,Settings!$F$2:$F$36,Settings!$E$2:$E$36,""),""))</f>
        <v/>
      </c>
    </row>
    <row r="203" spans="1:6" x14ac:dyDescent="0.25">
      <c r="A203" s="40"/>
      <c r="B203" s="41"/>
      <c r="F203" t="str">
        <f>IF(E203="","",IFERROR(_xlfn.XLOOKUP(E203,Settings!$F$2:$F$36,Settings!$E$2:$E$36,""),""))</f>
        <v/>
      </c>
    </row>
    <row r="204" spans="1:6" x14ac:dyDescent="0.25">
      <c r="A204" s="40"/>
      <c r="B204" s="41"/>
      <c r="F204" t="str">
        <f>IF(E204="","",IFERROR(_xlfn.XLOOKUP(E204,Settings!$F$2:$F$36,Settings!$E$2:$E$36,""),""))</f>
        <v/>
      </c>
    </row>
    <row r="205" spans="1:6" x14ac:dyDescent="0.25">
      <c r="A205" s="40"/>
      <c r="B205" s="41"/>
      <c r="F205" t="str">
        <f>IF(E205="","",IFERROR(_xlfn.XLOOKUP(E205,Settings!$F$2:$F$36,Settings!$E$2:$E$36,""),""))</f>
        <v/>
      </c>
    </row>
    <row r="206" spans="1:6" x14ac:dyDescent="0.25">
      <c r="A206" s="40"/>
      <c r="B206" s="41"/>
      <c r="F206" t="str">
        <f>IF(E206="","",IFERROR(_xlfn.XLOOKUP(E206,Settings!$F$2:$F$36,Settings!$E$2:$E$36,""),""))</f>
        <v/>
      </c>
    </row>
    <row r="207" spans="1:6" x14ac:dyDescent="0.25">
      <c r="A207" s="40"/>
      <c r="B207" s="41"/>
      <c r="F207" t="str">
        <f>IF(E207="","",IFERROR(_xlfn.XLOOKUP(E207,Settings!$F$2:$F$36,Settings!$E$2:$E$36,""),""))</f>
        <v/>
      </c>
    </row>
    <row r="208" spans="1:6" x14ac:dyDescent="0.25">
      <c r="A208" s="40"/>
      <c r="B208" s="41"/>
      <c r="F208" t="str">
        <f>IF(E208="","",IFERROR(_xlfn.XLOOKUP(E208,Settings!$F$2:$F$36,Settings!$E$2:$E$36,""),""))</f>
        <v/>
      </c>
    </row>
    <row r="209" spans="1:6" x14ac:dyDescent="0.25">
      <c r="A209" s="40"/>
      <c r="B209" s="41"/>
      <c r="F209" t="str">
        <f>IF(E209="","",IFERROR(_xlfn.XLOOKUP(E209,Settings!$F$2:$F$36,Settings!$E$2:$E$36,""),""))</f>
        <v/>
      </c>
    </row>
    <row r="210" spans="1:6" x14ac:dyDescent="0.25">
      <c r="A210" s="40"/>
      <c r="B210" s="41"/>
      <c r="F210" t="str">
        <f>IF(E210="","",IFERROR(_xlfn.XLOOKUP(E210,Settings!$F$2:$F$36,Settings!$E$2:$E$36,""),""))</f>
        <v/>
      </c>
    </row>
    <row r="211" spans="1:6" x14ac:dyDescent="0.25">
      <c r="A211" s="40"/>
      <c r="B211" s="41"/>
      <c r="F211" t="str">
        <f>IF(E211="","",IFERROR(_xlfn.XLOOKUP(E211,Settings!$F$2:$F$36,Settings!$E$2:$E$36,""),""))</f>
        <v/>
      </c>
    </row>
    <row r="212" spans="1:6" x14ac:dyDescent="0.25">
      <c r="A212" s="40"/>
      <c r="B212" s="41"/>
      <c r="F212" t="str">
        <f>IF(E212="","",IFERROR(_xlfn.XLOOKUP(E212,Settings!$F$2:$F$36,Settings!$E$2:$E$36,""),""))</f>
        <v/>
      </c>
    </row>
    <row r="213" spans="1:6" x14ac:dyDescent="0.25">
      <c r="A213" s="40"/>
      <c r="B213" s="41"/>
      <c r="F213" t="str">
        <f>IF(E213="","",IFERROR(_xlfn.XLOOKUP(E213,Settings!$F$2:$F$36,Settings!$E$2:$E$36,""),""))</f>
        <v/>
      </c>
    </row>
    <row r="214" spans="1:6" x14ac:dyDescent="0.25">
      <c r="A214" s="40"/>
      <c r="B214" s="41"/>
      <c r="F214" t="str">
        <f>IF(E214="","",IFERROR(_xlfn.XLOOKUP(E214,Settings!$F$2:$F$36,Settings!$E$2:$E$36,""),""))</f>
        <v/>
      </c>
    </row>
    <row r="215" spans="1:6" x14ac:dyDescent="0.25">
      <c r="A215" s="40"/>
      <c r="B215" s="41"/>
      <c r="F215" t="str">
        <f>IF(E215="","",IFERROR(_xlfn.XLOOKUP(E215,Settings!$F$2:$F$36,Settings!$E$2:$E$36,""),""))</f>
        <v/>
      </c>
    </row>
    <row r="216" spans="1:6" x14ac:dyDescent="0.25">
      <c r="A216" s="40"/>
      <c r="B216" s="41"/>
      <c r="F216" t="str">
        <f>IF(E216="","",IFERROR(_xlfn.XLOOKUP(E216,Settings!$F$2:$F$36,Settings!$E$2:$E$36,""),""))</f>
        <v/>
      </c>
    </row>
    <row r="217" spans="1:6" x14ac:dyDescent="0.25">
      <c r="A217" s="40"/>
      <c r="B217" s="41"/>
      <c r="F217" t="str">
        <f>IF(E217="","",IFERROR(_xlfn.XLOOKUP(E217,Settings!$F$2:$F$36,Settings!$E$2:$E$36,""),""))</f>
        <v/>
      </c>
    </row>
    <row r="218" spans="1:6" x14ac:dyDescent="0.25">
      <c r="A218" s="40"/>
      <c r="B218" s="41"/>
      <c r="F218" t="str">
        <f>IF(E218="","",IFERROR(_xlfn.XLOOKUP(E218,Settings!$F$2:$F$36,Settings!$E$2:$E$36,""),""))</f>
        <v/>
      </c>
    </row>
    <row r="219" spans="1:6" x14ac:dyDescent="0.25">
      <c r="A219" s="40"/>
      <c r="B219" s="41"/>
      <c r="F219" t="str">
        <f>IF(E219="","",IFERROR(_xlfn.XLOOKUP(E219,Settings!$F$2:$F$36,Settings!$E$2:$E$36,""),""))</f>
        <v/>
      </c>
    </row>
    <row r="220" spans="1:6" x14ac:dyDescent="0.25">
      <c r="A220" s="40"/>
      <c r="B220" s="41"/>
      <c r="F220" t="str">
        <f>IF(E220="","",IFERROR(_xlfn.XLOOKUP(E220,Settings!$F$2:$F$36,Settings!$E$2:$E$36,""),""))</f>
        <v/>
      </c>
    </row>
    <row r="221" spans="1:6" x14ac:dyDescent="0.25">
      <c r="A221" s="40"/>
      <c r="B221" s="41"/>
      <c r="F221" t="str">
        <f>IF(E221="","",IFERROR(_xlfn.XLOOKUP(E221,Settings!$F$2:$F$36,Settings!$E$2:$E$36,""),""))</f>
        <v/>
      </c>
    </row>
    <row r="222" spans="1:6" x14ac:dyDescent="0.25">
      <c r="A222" s="40"/>
      <c r="B222" s="41"/>
      <c r="F222" t="str">
        <f>IF(E222="","",IFERROR(_xlfn.XLOOKUP(E222,Settings!$F$2:$F$36,Settings!$E$2:$E$36,""),""))</f>
        <v/>
      </c>
    </row>
    <row r="223" spans="1:6" x14ac:dyDescent="0.25">
      <c r="A223" s="40"/>
      <c r="B223" s="41"/>
      <c r="F223" t="str">
        <f>IF(E223="","",IFERROR(_xlfn.XLOOKUP(E223,Settings!$F$2:$F$36,Settings!$E$2:$E$36,""),""))</f>
        <v/>
      </c>
    </row>
    <row r="224" spans="1:6" x14ac:dyDescent="0.25">
      <c r="A224" s="40"/>
      <c r="B224" s="41"/>
      <c r="F224" t="str">
        <f>IF(E224="","",IFERROR(_xlfn.XLOOKUP(E224,Settings!$F$2:$F$36,Settings!$E$2:$E$36,""),""))</f>
        <v/>
      </c>
    </row>
    <row r="225" spans="1:6" x14ac:dyDescent="0.25">
      <c r="A225" s="40"/>
      <c r="B225" s="41"/>
      <c r="F225" t="str">
        <f>IF(E225="","",IFERROR(_xlfn.XLOOKUP(E225,Settings!$F$2:$F$36,Settings!$E$2:$E$36,""),""))</f>
        <v/>
      </c>
    </row>
    <row r="226" spans="1:6" x14ac:dyDescent="0.25">
      <c r="A226" s="40"/>
      <c r="B226" s="41"/>
      <c r="F226" t="str">
        <f>IF(E226="","",IFERROR(_xlfn.XLOOKUP(E226,Settings!$F$2:$F$36,Settings!$E$2:$E$36,""),""))</f>
        <v/>
      </c>
    </row>
    <row r="227" spans="1:6" x14ac:dyDescent="0.25">
      <c r="A227" s="40"/>
      <c r="B227" s="41"/>
      <c r="F227" t="str">
        <f>IF(E227="","",IFERROR(_xlfn.XLOOKUP(E227,Settings!$F$2:$F$36,Settings!$E$2:$E$36,""),""))</f>
        <v/>
      </c>
    </row>
    <row r="228" spans="1:6" x14ac:dyDescent="0.25">
      <c r="A228" s="40"/>
      <c r="B228" s="41"/>
      <c r="F228" t="str">
        <f>IF(E228="","",IFERROR(_xlfn.XLOOKUP(E228,Settings!$F$2:$F$36,Settings!$E$2:$E$36,""),""))</f>
        <v/>
      </c>
    </row>
    <row r="229" spans="1:6" x14ac:dyDescent="0.25">
      <c r="A229" s="40"/>
      <c r="B229" s="41"/>
      <c r="F229" t="str">
        <f>IF(E229="","",IFERROR(_xlfn.XLOOKUP(E229,Settings!$F$2:$F$36,Settings!$E$2:$E$36,""),""))</f>
        <v/>
      </c>
    </row>
    <row r="230" spans="1:6" x14ac:dyDescent="0.25">
      <c r="A230" s="40"/>
      <c r="B230" s="41"/>
      <c r="F230" t="str">
        <f>IF(E230="","",IFERROR(_xlfn.XLOOKUP(E230,Settings!$F$2:$F$36,Settings!$E$2:$E$36,""),""))</f>
        <v/>
      </c>
    </row>
    <row r="231" spans="1:6" x14ac:dyDescent="0.25">
      <c r="A231" s="40"/>
      <c r="B231" s="41"/>
      <c r="F231" t="str">
        <f>IF(E231="","",IFERROR(_xlfn.XLOOKUP(E231,Settings!$F$2:$F$36,Settings!$E$2:$E$36,""),""))</f>
        <v/>
      </c>
    </row>
    <row r="232" spans="1:6" x14ac:dyDescent="0.25">
      <c r="A232" s="40"/>
      <c r="B232" s="41"/>
      <c r="F232" t="str">
        <f>IF(E232="","",IFERROR(_xlfn.XLOOKUP(E232,Settings!$F$2:$F$36,Settings!$E$2:$E$36,""),""))</f>
        <v/>
      </c>
    </row>
    <row r="233" spans="1:6" x14ac:dyDescent="0.25">
      <c r="A233" s="40"/>
      <c r="B233" s="41"/>
      <c r="F233" t="str">
        <f>IF(E233="","",IFERROR(_xlfn.XLOOKUP(E233,Settings!$F$2:$F$36,Settings!$E$2:$E$36,""),""))</f>
        <v/>
      </c>
    </row>
    <row r="234" spans="1:6" x14ac:dyDescent="0.25">
      <c r="A234" s="40"/>
      <c r="B234" s="41"/>
      <c r="F234" t="str">
        <f>IF(E234="","",IFERROR(_xlfn.XLOOKUP(E234,Settings!$F$2:$F$36,Settings!$E$2:$E$36,""),""))</f>
        <v/>
      </c>
    </row>
    <row r="235" spans="1:6" x14ac:dyDescent="0.25">
      <c r="A235" s="40"/>
      <c r="B235" s="41"/>
      <c r="F235" t="str">
        <f>IF(E235="","",IFERROR(_xlfn.XLOOKUP(E235,Settings!$F$2:$F$36,Settings!$E$2:$E$36,""),""))</f>
        <v/>
      </c>
    </row>
    <row r="236" spans="1:6" x14ac:dyDescent="0.25">
      <c r="A236" s="40"/>
      <c r="B236" s="41"/>
      <c r="F236" t="str">
        <f>IF(E236="","",IFERROR(_xlfn.XLOOKUP(E236,Settings!$F$2:$F$36,Settings!$E$2:$E$36,""),""))</f>
        <v/>
      </c>
    </row>
    <row r="237" spans="1:6" x14ac:dyDescent="0.25">
      <c r="A237" s="40"/>
      <c r="B237" s="41"/>
      <c r="F237" t="str">
        <f>IF(E237="","",IFERROR(_xlfn.XLOOKUP(E237,Settings!$F$2:$F$36,Settings!$E$2:$E$36,""),""))</f>
        <v/>
      </c>
    </row>
    <row r="238" spans="1:6" x14ac:dyDescent="0.25">
      <c r="A238" s="40"/>
      <c r="B238" s="41"/>
      <c r="F238" t="str">
        <f>IF(E238="","",IFERROR(_xlfn.XLOOKUP(E238,Settings!$F$2:$F$36,Settings!$E$2:$E$36,""),""))</f>
        <v/>
      </c>
    </row>
    <row r="239" spans="1:6" x14ac:dyDescent="0.25">
      <c r="A239" s="40"/>
      <c r="B239" s="41"/>
      <c r="F239" t="str">
        <f>IF(E239="","",IFERROR(_xlfn.XLOOKUP(E239,Settings!$F$2:$F$36,Settings!$E$2:$E$36,""),""))</f>
        <v/>
      </c>
    </row>
    <row r="240" spans="1:6" x14ac:dyDescent="0.25">
      <c r="A240" s="40"/>
      <c r="B240" s="41"/>
      <c r="F240" t="str">
        <f>IF(E240="","",IFERROR(_xlfn.XLOOKUP(E240,Settings!$F$2:$F$36,Settings!$E$2:$E$36,""),""))</f>
        <v/>
      </c>
    </row>
    <row r="241" spans="1:6" x14ac:dyDescent="0.25">
      <c r="A241" s="40"/>
      <c r="B241" s="41"/>
      <c r="F241" t="str">
        <f>IF(E241="","",IFERROR(_xlfn.XLOOKUP(E241,Settings!$F$2:$F$36,Settings!$E$2:$E$36,""),""))</f>
        <v/>
      </c>
    </row>
    <row r="242" spans="1:6" x14ac:dyDescent="0.25">
      <c r="A242" s="40"/>
      <c r="B242" s="41"/>
      <c r="F242" t="str">
        <f>IF(E242="","",IFERROR(_xlfn.XLOOKUP(E242,Settings!$F$2:$F$36,Settings!$E$2:$E$36,""),""))</f>
        <v/>
      </c>
    </row>
    <row r="243" spans="1:6" x14ac:dyDescent="0.25">
      <c r="A243" s="40"/>
      <c r="B243" s="41"/>
      <c r="F243" t="str">
        <f>IF(E243="","",IFERROR(_xlfn.XLOOKUP(E243,Settings!$F$2:$F$36,Settings!$E$2:$E$36,""),""))</f>
        <v/>
      </c>
    </row>
    <row r="244" spans="1:6" x14ac:dyDescent="0.25">
      <c r="A244" s="40"/>
      <c r="B244" s="41"/>
      <c r="F244" t="str">
        <f>IF(E244="","",IFERROR(_xlfn.XLOOKUP(E244,Settings!$F$2:$F$36,Settings!$E$2:$E$36,""),""))</f>
        <v/>
      </c>
    </row>
    <row r="245" spans="1:6" x14ac:dyDescent="0.25">
      <c r="A245" s="40"/>
      <c r="B245" s="41"/>
      <c r="F245" t="str">
        <f>IF(E245="","",IFERROR(_xlfn.XLOOKUP(E245,Settings!$F$2:$F$36,Settings!$E$2:$E$36,""),""))</f>
        <v/>
      </c>
    </row>
    <row r="246" spans="1:6" x14ac:dyDescent="0.25">
      <c r="A246" s="40"/>
      <c r="B246" s="41"/>
      <c r="F246" t="str">
        <f>IF(E246="","",IFERROR(_xlfn.XLOOKUP(E246,Settings!$F$2:$F$36,Settings!$E$2:$E$36,""),""))</f>
        <v/>
      </c>
    </row>
    <row r="247" spans="1:6" x14ac:dyDescent="0.25">
      <c r="A247" s="40"/>
      <c r="B247" s="41"/>
      <c r="F247" t="str">
        <f>IF(E247="","",IFERROR(_xlfn.XLOOKUP(E247,Settings!$F$2:$F$36,Settings!$E$2:$E$36,""),""))</f>
        <v/>
      </c>
    </row>
    <row r="248" spans="1:6" x14ac:dyDescent="0.25">
      <c r="A248" s="40"/>
      <c r="B248" s="41"/>
      <c r="F248" t="str">
        <f>IF(E248="","",IFERROR(_xlfn.XLOOKUP(E248,Settings!$F$2:$F$36,Settings!$E$2:$E$36,""),""))</f>
        <v/>
      </c>
    </row>
    <row r="249" spans="1:6" x14ac:dyDescent="0.25">
      <c r="A249" s="40"/>
      <c r="B249" s="41"/>
      <c r="F249" t="str">
        <f>IF(E249="","",IFERROR(_xlfn.XLOOKUP(E249,Settings!$F$2:$F$36,Settings!$E$2:$E$36,""),""))</f>
        <v/>
      </c>
    </row>
    <row r="250" spans="1:6" x14ac:dyDescent="0.25">
      <c r="A250" s="40"/>
      <c r="B250" s="41"/>
      <c r="F250" t="str">
        <f>IF(E250="","",IFERROR(_xlfn.XLOOKUP(E250,Settings!$F$2:$F$36,Settings!$E$2:$E$36,""),""))</f>
        <v/>
      </c>
    </row>
    <row r="251" spans="1:6" x14ac:dyDescent="0.25">
      <c r="A251" s="40"/>
      <c r="B251" s="41"/>
      <c r="F251" t="str">
        <f>IF(E251="","",IFERROR(_xlfn.XLOOKUP(E251,Settings!$F$2:$F$36,Settings!$E$2:$E$36,""),""))</f>
        <v/>
      </c>
    </row>
    <row r="252" spans="1:6" x14ac:dyDescent="0.25">
      <c r="A252" s="40"/>
      <c r="B252" s="41"/>
      <c r="F252" t="str">
        <f>IF(E252="","",IFERROR(_xlfn.XLOOKUP(E252,Settings!$F$2:$F$36,Settings!$E$2:$E$36,""),""))</f>
        <v/>
      </c>
    </row>
    <row r="253" spans="1:6" x14ac:dyDescent="0.25">
      <c r="A253" s="40"/>
      <c r="B253" s="41"/>
      <c r="F253" t="str">
        <f>IF(E253="","",IFERROR(_xlfn.XLOOKUP(E253,Settings!$F$2:$F$36,Settings!$E$2:$E$36,""),""))</f>
        <v/>
      </c>
    </row>
    <row r="254" spans="1:6" x14ac:dyDescent="0.25">
      <c r="A254" s="40"/>
      <c r="B254" s="41"/>
      <c r="F254" t="str">
        <f>IF(E254="","",IFERROR(_xlfn.XLOOKUP(E254,Settings!$F$2:$F$36,Settings!$E$2:$E$36,""),""))</f>
        <v/>
      </c>
    </row>
    <row r="255" spans="1:6" x14ac:dyDescent="0.25">
      <c r="A255" s="40"/>
      <c r="B255" s="41"/>
      <c r="F255" t="str">
        <f>IF(E255="","",IFERROR(_xlfn.XLOOKUP(E255,Settings!$F$2:$F$36,Settings!$E$2:$E$36,""),""))</f>
        <v/>
      </c>
    </row>
    <row r="256" spans="1:6" x14ac:dyDescent="0.25">
      <c r="A256" s="40"/>
      <c r="B256" s="41"/>
      <c r="F256" t="str">
        <f>IF(E256="","",IFERROR(_xlfn.XLOOKUP(E256,Settings!$F$2:$F$36,Settings!$E$2:$E$36,""),""))</f>
        <v/>
      </c>
    </row>
    <row r="257" spans="1:6" x14ac:dyDescent="0.25">
      <c r="A257" s="40"/>
      <c r="B257" s="41"/>
      <c r="F257" t="str">
        <f>IF(E257="","",IFERROR(_xlfn.XLOOKUP(E257,Settings!$F$2:$F$36,Settings!$E$2:$E$36,""),""))</f>
        <v/>
      </c>
    </row>
    <row r="258" spans="1:6" x14ac:dyDescent="0.25">
      <c r="A258" s="40"/>
      <c r="B258" s="41"/>
      <c r="F258" t="str">
        <f>IF(E258="","",IFERROR(_xlfn.XLOOKUP(E258,Settings!$F$2:$F$36,Settings!$E$2:$E$36,""),""))</f>
        <v/>
      </c>
    </row>
    <row r="259" spans="1:6" x14ac:dyDescent="0.25">
      <c r="A259" s="40"/>
      <c r="B259" s="41"/>
      <c r="F259" t="str">
        <f>IF(E259="","",IFERROR(_xlfn.XLOOKUP(E259,Settings!$F$2:$F$36,Settings!$E$2:$E$36,""),""))</f>
        <v/>
      </c>
    </row>
    <row r="260" spans="1:6" x14ac:dyDescent="0.25">
      <c r="A260" s="40"/>
      <c r="B260" s="41"/>
      <c r="F260" t="str">
        <f>IF(E260="","",IFERROR(_xlfn.XLOOKUP(E260,Settings!$F$2:$F$36,Settings!$E$2:$E$36,""),""))</f>
        <v/>
      </c>
    </row>
    <row r="261" spans="1:6" x14ac:dyDescent="0.25">
      <c r="A261" s="40"/>
      <c r="B261" s="41"/>
      <c r="F261" t="str">
        <f>IF(E261="","",IFERROR(_xlfn.XLOOKUP(E261,Settings!$F$2:$F$36,Settings!$E$2:$E$36,""),""))</f>
        <v/>
      </c>
    </row>
    <row r="262" spans="1:6" x14ac:dyDescent="0.25">
      <c r="A262" s="40"/>
      <c r="B262" s="41"/>
      <c r="F262" t="str">
        <f>IF(E262="","",IFERROR(_xlfn.XLOOKUP(E262,Settings!$F$2:$F$36,Settings!$E$2:$E$36,""),""))</f>
        <v/>
      </c>
    </row>
    <row r="263" spans="1:6" x14ac:dyDescent="0.25">
      <c r="A263" s="40"/>
      <c r="B263" s="41"/>
      <c r="F263" t="str">
        <f>IF(E263="","",IFERROR(_xlfn.XLOOKUP(E263,Settings!$F$2:$F$36,Settings!$E$2:$E$36,""),""))</f>
        <v/>
      </c>
    </row>
    <row r="264" spans="1:6" x14ac:dyDescent="0.25">
      <c r="A264" s="40"/>
      <c r="B264" s="41"/>
      <c r="F264" t="str">
        <f>IF(E264="","",IFERROR(_xlfn.XLOOKUP(E264,Settings!$F$2:$F$36,Settings!$E$2:$E$36,""),""))</f>
        <v/>
      </c>
    </row>
    <row r="265" spans="1:6" x14ac:dyDescent="0.25">
      <c r="A265" s="40"/>
      <c r="B265" s="41"/>
      <c r="F265" t="str">
        <f>IF(E265="","",IFERROR(_xlfn.XLOOKUP(E265,Settings!$F$2:$F$36,Settings!$E$2:$E$36,""),""))</f>
        <v/>
      </c>
    </row>
    <row r="266" spans="1:6" x14ac:dyDescent="0.25">
      <c r="A266" s="40"/>
      <c r="B266" s="41"/>
      <c r="F266" t="str">
        <f>IF(E266="","",IFERROR(_xlfn.XLOOKUP(E266,Settings!$F$2:$F$36,Settings!$E$2:$E$36,""),""))</f>
        <v/>
      </c>
    </row>
    <row r="267" spans="1:6" x14ac:dyDescent="0.25">
      <c r="A267" s="40"/>
      <c r="B267" s="41"/>
      <c r="F267" t="str">
        <f>IF(E267="","",IFERROR(_xlfn.XLOOKUP(E267,Settings!$F$2:$F$36,Settings!$E$2:$E$36,""),""))</f>
        <v/>
      </c>
    </row>
    <row r="268" spans="1:6" x14ac:dyDescent="0.25">
      <c r="A268" s="40"/>
      <c r="B268" s="41"/>
      <c r="F268" t="str">
        <f>IF(E268="","",IFERROR(_xlfn.XLOOKUP(E268,Settings!$F$2:$F$36,Settings!$E$2:$E$36,""),""))</f>
        <v/>
      </c>
    </row>
    <row r="269" spans="1:6" x14ac:dyDescent="0.25">
      <c r="A269" s="40"/>
      <c r="B269" s="41"/>
      <c r="F269" t="str">
        <f>IF(E269="","",IFERROR(_xlfn.XLOOKUP(E269,Settings!$F$2:$F$36,Settings!$E$2:$E$36,""),""))</f>
        <v/>
      </c>
    </row>
    <row r="270" spans="1:6" x14ac:dyDescent="0.25">
      <c r="A270" s="40"/>
      <c r="B270" s="41"/>
      <c r="F270" t="str">
        <f>IF(E270="","",IFERROR(_xlfn.XLOOKUP(E270,Settings!$F$2:$F$36,Settings!$E$2:$E$36,""),""))</f>
        <v/>
      </c>
    </row>
    <row r="271" spans="1:6" x14ac:dyDescent="0.25">
      <c r="A271" s="40"/>
      <c r="B271" s="41"/>
      <c r="F271" t="str">
        <f>IF(E271="","",IFERROR(_xlfn.XLOOKUP(E271,Settings!$F$2:$F$36,Settings!$E$2:$E$36,""),""))</f>
        <v/>
      </c>
    </row>
    <row r="272" spans="1:6" x14ac:dyDescent="0.25">
      <c r="A272" s="40"/>
      <c r="B272" s="41"/>
      <c r="F272" t="str">
        <f>IF(E272="","",IFERROR(_xlfn.XLOOKUP(E272,Settings!$F$2:$F$36,Settings!$E$2:$E$36,""),""))</f>
        <v/>
      </c>
    </row>
    <row r="273" spans="1:6" x14ac:dyDescent="0.25">
      <c r="A273" s="40"/>
      <c r="B273" s="41"/>
      <c r="F273" t="str">
        <f>IF(E273="","",IFERROR(_xlfn.XLOOKUP(E273,Settings!$F$2:$F$36,Settings!$E$2:$E$36,""),""))</f>
        <v/>
      </c>
    </row>
    <row r="274" spans="1:6" x14ac:dyDescent="0.25">
      <c r="A274" s="40"/>
      <c r="B274" s="41"/>
      <c r="F274" t="str">
        <f>IF(E274="","",IFERROR(_xlfn.XLOOKUP(E274,Settings!$F$2:$F$36,Settings!$E$2:$E$36,""),""))</f>
        <v/>
      </c>
    </row>
    <row r="275" spans="1:6" x14ac:dyDescent="0.25">
      <c r="A275" s="40"/>
      <c r="B275" s="41"/>
      <c r="F275" t="str">
        <f>IF(E275="","",IFERROR(_xlfn.XLOOKUP(E275,Settings!$F$2:$F$36,Settings!$E$2:$E$36,""),""))</f>
        <v/>
      </c>
    </row>
    <row r="276" spans="1:6" x14ac:dyDescent="0.25">
      <c r="A276" s="40"/>
      <c r="B276" s="41"/>
      <c r="F276" t="str">
        <f>IF(E276="","",IFERROR(_xlfn.XLOOKUP(E276,Settings!$F$2:$F$36,Settings!$E$2:$E$36,""),""))</f>
        <v/>
      </c>
    </row>
    <row r="277" spans="1:6" x14ac:dyDescent="0.25">
      <c r="A277" s="40"/>
      <c r="B277" s="41"/>
      <c r="F277" t="str">
        <f>IF(E277="","",IFERROR(_xlfn.XLOOKUP(E277,Settings!$F$2:$F$36,Settings!$E$2:$E$36,""),""))</f>
        <v/>
      </c>
    </row>
    <row r="278" spans="1:6" x14ac:dyDescent="0.25">
      <c r="A278" s="40"/>
      <c r="B278" s="41"/>
      <c r="F278" t="str">
        <f>IF(E278="","",IFERROR(_xlfn.XLOOKUP(E278,Settings!$F$2:$F$36,Settings!$E$2:$E$36,""),""))</f>
        <v/>
      </c>
    </row>
    <row r="279" spans="1:6" x14ac:dyDescent="0.25">
      <c r="A279" s="40"/>
      <c r="B279" s="41"/>
      <c r="F279" t="str">
        <f>IF(E279="","",IFERROR(_xlfn.XLOOKUP(E279,Settings!$F$2:$F$36,Settings!$E$2:$E$36,""),""))</f>
        <v/>
      </c>
    </row>
    <row r="280" spans="1:6" x14ac:dyDescent="0.25">
      <c r="A280" s="40"/>
      <c r="B280" s="41"/>
      <c r="F280" t="str">
        <f>IF(E280="","",IFERROR(_xlfn.XLOOKUP(E280,Settings!$F$2:$F$36,Settings!$E$2:$E$36,""),""))</f>
        <v/>
      </c>
    </row>
    <row r="281" spans="1:6" x14ac:dyDescent="0.25">
      <c r="A281" s="40"/>
      <c r="B281" s="41"/>
      <c r="F281" t="str">
        <f>IF(E281="","",IFERROR(_xlfn.XLOOKUP(E281,Settings!$F$2:$F$36,Settings!$E$2:$E$36,""),""))</f>
        <v/>
      </c>
    </row>
    <row r="282" spans="1:6" x14ac:dyDescent="0.25">
      <c r="A282" s="40"/>
      <c r="B282" s="41"/>
      <c r="F282" t="str">
        <f>IF(E282="","",IFERROR(_xlfn.XLOOKUP(E282,Settings!$F$2:$F$36,Settings!$E$2:$E$36,""),""))</f>
        <v/>
      </c>
    </row>
    <row r="283" spans="1:6" x14ac:dyDescent="0.25">
      <c r="A283" s="40"/>
      <c r="B283" s="41"/>
      <c r="F283" t="str">
        <f>IF(E283="","",IFERROR(_xlfn.XLOOKUP(E283,Settings!$F$2:$F$36,Settings!$E$2:$E$36,""),""))</f>
        <v/>
      </c>
    </row>
    <row r="284" spans="1:6" x14ac:dyDescent="0.25">
      <c r="A284" s="40"/>
      <c r="B284" s="41"/>
      <c r="F284" t="str">
        <f>IF(E284="","",IFERROR(_xlfn.XLOOKUP(E284,Settings!$F$2:$F$36,Settings!$E$2:$E$36,""),""))</f>
        <v/>
      </c>
    </row>
    <row r="285" spans="1:6" x14ac:dyDescent="0.25">
      <c r="A285" s="40"/>
      <c r="B285" s="41"/>
      <c r="F285" t="str">
        <f>IF(E285="","",IFERROR(_xlfn.XLOOKUP(E285,Settings!$F$2:$F$36,Settings!$E$2:$E$36,""),""))</f>
        <v/>
      </c>
    </row>
    <row r="286" spans="1:6" x14ac:dyDescent="0.25">
      <c r="A286" s="40"/>
      <c r="B286" s="41"/>
      <c r="F286" t="str">
        <f>IF(E286="","",IFERROR(_xlfn.XLOOKUP(E286,Settings!$F$2:$F$36,Settings!$E$2:$E$36,""),""))</f>
        <v/>
      </c>
    </row>
    <row r="287" spans="1:6" x14ac:dyDescent="0.25">
      <c r="A287" s="40"/>
      <c r="B287" s="41"/>
      <c r="F287" t="str">
        <f>IF(E287="","",IFERROR(_xlfn.XLOOKUP(E287,Settings!$F$2:$F$36,Settings!$E$2:$E$36,""),""))</f>
        <v/>
      </c>
    </row>
    <row r="288" spans="1:6" x14ac:dyDescent="0.25">
      <c r="A288" s="40"/>
      <c r="B288" s="41"/>
      <c r="F288" t="str">
        <f>IF(E288="","",IFERROR(_xlfn.XLOOKUP(E288,Settings!$F$2:$F$36,Settings!$E$2:$E$36,""),""))</f>
        <v/>
      </c>
    </row>
    <row r="289" spans="1:6" x14ac:dyDescent="0.25">
      <c r="A289" s="40"/>
      <c r="B289" s="41"/>
      <c r="F289" t="str">
        <f>IF(E289="","",IFERROR(_xlfn.XLOOKUP(E289,Settings!$F$2:$F$36,Settings!$E$2:$E$36,""),""))</f>
        <v/>
      </c>
    </row>
    <row r="290" spans="1:6" x14ac:dyDescent="0.25">
      <c r="A290" s="40"/>
      <c r="B290" s="41"/>
      <c r="F290" t="str">
        <f>IF(E290="","",IFERROR(_xlfn.XLOOKUP(E290,Settings!$F$2:$F$36,Settings!$E$2:$E$36,""),""))</f>
        <v/>
      </c>
    </row>
    <row r="291" spans="1:6" x14ac:dyDescent="0.25">
      <c r="A291" s="40"/>
      <c r="B291" s="41"/>
      <c r="F291" t="str">
        <f>IF(E291="","",IFERROR(_xlfn.XLOOKUP(E291,Settings!$F$2:$F$36,Settings!$E$2:$E$36,""),""))</f>
        <v/>
      </c>
    </row>
    <row r="292" spans="1:6" x14ac:dyDescent="0.25">
      <c r="A292" s="40"/>
      <c r="B292" s="41"/>
      <c r="F292" t="str">
        <f>IF(E292="","",IFERROR(_xlfn.XLOOKUP(E292,Settings!$F$2:$F$36,Settings!$E$2:$E$36,""),""))</f>
        <v/>
      </c>
    </row>
    <row r="293" spans="1:6" x14ac:dyDescent="0.25">
      <c r="A293" s="40"/>
      <c r="B293" s="41"/>
      <c r="F293" t="str">
        <f>IF(E293="","",IFERROR(_xlfn.XLOOKUP(E293,Settings!$F$2:$F$36,Settings!$E$2:$E$36,""),""))</f>
        <v/>
      </c>
    </row>
    <row r="294" spans="1:6" x14ac:dyDescent="0.25">
      <c r="A294" s="40"/>
      <c r="B294" s="41"/>
      <c r="F294" t="str">
        <f>IF(E294="","",IFERROR(_xlfn.XLOOKUP(E294,Settings!$F$2:$F$36,Settings!$E$2:$E$36,""),""))</f>
        <v/>
      </c>
    </row>
    <row r="295" spans="1:6" x14ac:dyDescent="0.25">
      <c r="A295" s="40"/>
      <c r="B295" s="41"/>
      <c r="F295" t="str">
        <f>IF(E295="","",IFERROR(_xlfn.XLOOKUP(E295,Settings!$F$2:$F$36,Settings!$E$2:$E$36,""),""))</f>
        <v/>
      </c>
    </row>
    <row r="296" spans="1:6" x14ac:dyDescent="0.25">
      <c r="A296" s="40"/>
      <c r="B296" s="41"/>
      <c r="F296" t="str">
        <f>IF(E296="","",IFERROR(_xlfn.XLOOKUP(E296,Settings!$F$2:$F$36,Settings!$E$2:$E$36,""),""))</f>
        <v/>
      </c>
    </row>
    <row r="297" spans="1:6" x14ac:dyDescent="0.25">
      <c r="A297" s="40"/>
      <c r="B297" s="41"/>
      <c r="F297" t="str">
        <f>IF(E297="","",IFERROR(_xlfn.XLOOKUP(E297,Settings!$F$2:$F$36,Settings!$E$2:$E$36,""),""))</f>
        <v/>
      </c>
    </row>
    <row r="298" spans="1:6" x14ac:dyDescent="0.25">
      <c r="A298" s="40"/>
      <c r="B298" s="41"/>
      <c r="F298" t="str">
        <f>IF(E298="","",IFERROR(_xlfn.XLOOKUP(E298,Settings!$F$2:$F$36,Settings!$E$2:$E$36,""),""))</f>
        <v/>
      </c>
    </row>
    <row r="299" spans="1:6" x14ac:dyDescent="0.25">
      <c r="A299" s="40"/>
      <c r="B299" s="41"/>
      <c r="F299" t="str">
        <f>IF(E299="","",IFERROR(_xlfn.XLOOKUP(E299,Settings!$F$2:$F$36,Settings!$E$2:$E$36,""),""))</f>
        <v/>
      </c>
    </row>
    <row r="300" spans="1:6" x14ac:dyDescent="0.25">
      <c r="A300" s="40"/>
      <c r="B300" s="41"/>
      <c r="F300" t="str">
        <f>IF(E300="","",IFERROR(_xlfn.XLOOKUP(E300,Settings!$F$2:$F$36,Settings!$E$2:$E$36,""),""))</f>
        <v/>
      </c>
    </row>
    <row r="301" spans="1:6" x14ac:dyDescent="0.25">
      <c r="A301" s="40"/>
      <c r="B301" s="41"/>
      <c r="F301" t="str">
        <f>IF(E301="","",IFERROR(_xlfn.XLOOKUP(E301,Settings!$F$2:$F$36,Settings!$E$2:$E$36,""),""))</f>
        <v/>
      </c>
    </row>
    <row r="302" spans="1:6" x14ac:dyDescent="0.25">
      <c r="A302" s="40"/>
      <c r="B302" s="41"/>
      <c r="F302" t="str">
        <f>IF(E302="","",IFERROR(_xlfn.XLOOKUP(E302,Settings!$F$2:$F$36,Settings!$E$2:$E$36,""),""))</f>
        <v/>
      </c>
    </row>
    <row r="303" spans="1:6" x14ac:dyDescent="0.25">
      <c r="A303" s="40"/>
      <c r="B303" s="41"/>
      <c r="F303" t="str">
        <f>IF(E303="","",IFERROR(_xlfn.XLOOKUP(E303,Settings!$F$2:$F$36,Settings!$E$2:$E$36,""),""))</f>
        <v/>
      </c>
    </row>
    <row r="304" spans="1:6" x14ac:dyDescent="0.25">
      <c r="A304" s="40"/>
      <c r="B304" s="41"/>
      <c r="F304" t="str">
        <f>IF(E304="","",IFERROR(_xlfn.XLOOKUP(E304,Settings!$F$2:$F$36,Settings!$E$2:$E$36,""),""))</f>
        <v/>
      </c>
    </row>
    <row r="305" spans="1:6" x14ac:dyDescent="0.25">
      <c r="A305" s="40"/>
      <c r="B305" s="41"/>
      <c r="F305" t="str">
        <f>IF(E305="","",IFERROR(_xlfn.XLOOKUP(E305,Settings!$F$2:$F$36,Settings!$E$2:$E$36,""),""))</f>
        <v/>
      </c>
    </row>
    <row r="306" spans="1:6" x14ac:dyDescent="0.25">
      <c r="A306" s="40"/>
      <c r="B306" s="41"/>
      <c r="F306" t="str">
        <f>IF(E306="","",IFERROR(_xlfn.XLOOKUP(E306,Settings!$F$2:$F$36,Settings!$E$2:$E$36,""),""))</f>
        <v/>
      </c>
    </row>
    <row r="307" spans="1:6" x14ac:dyDescent="0.25">
      <c r="A307" s="40"/>
      <c r="B307" s="41"/>
      <c r="F307" t="str">
        <f>IF(E307="","",IFERROR(_xlfn.XLOOKUP(E307,Settings!$F$2:$F$36,Settings!$E$2:$E$36,""),""))</f>
        <v/>
      </c>
    </row>
    <row r="308" spans="1:6" x14ac:dyDescent="0.25">
      <c r="A308" s="40"/>
      <c r="B308" s="41"/>
      <c r="F308" t="str">
        <f>IF(E308="","",IFERROR(_xlfn.XLOOKUP(E308,Settings!$F$2:$F$36,Settings!$E$2:$E$36,""),""))</f>
        <v/>
      </c>
    </row>
    <row r="309" spans="1:6" x14ac:dyDescent="0.25">
      <c r="A309" s="40"/>
      <c r="B309" s="41"/>
      <c r="F309" t="str">
        <f>IF(E309="","",IFERROR(_xlfn.XLOOKUP(E309,Settings!$F$2:$F$36,Settings!$E$2:$E$36,""),""))</f>
        <v/>
      </c>
    </row>
    <row r="310" spans="1:6" x14ac:dyDescent="0.25">
      <c r="A310" s="40"/>
      <c r="B310" s="41"/>
      <c r="F310" t="str">
        <f>IF(E310="","",IFERROR(_xlfn.XLOOKUP(E310,Settings!$F$2:$F$36,Settings!$E$2:$E$36,""),""))</f>
        <v/>
      </c>
    </row>
    <row r="311" spans="1:6" x14ac:dyDescent="0.25">
      <c r="A311" s="40"/>
      <c r="B311" s="41"/>
      <c r="F311" t="str">
        <f>IF(E311="","",IFERROR(_xlfn.XLOOKUP(E311,Settings!$F$2:$F$36,Settings!$E$2:$E$36,""),""))</f>
        <v/>
      </c>
    </row>
    <row r="312" spans="1:6" x14ac:dyDescent="0.25">
      <c r="A312" s="40"/>
      <c r="B312" s="41"/>
      <c r="F312" t="str">
        <f>IF(E312="","",IFERROR(_xlfn.XLOOKUP(E312,Settings!$F$2:$F$36,Settings!$E$2:$E$36,""),""))</f>
        <v/>
      </c>
    </row>
    <row r="313" spans="1:6" x14ac:dyDescent="0.25">
      <c r="A313" s="40"/>
      <c r="B313" s="41"/>
      <c r="F313" t="str">
        <f>IF(E313="","",IFERROR(_xlfn.XLOOKUP(E313,Settings!$F$2:$F$36,Settings!$E$2:$E$36,""),""))</f>
        <v/>
      </c>
    </row>
    <row r="314" spans="1:6" x14ac:dyDescent="0.25">
      <c r="A314" s="40"/>
      <c r="B314" s="41"/>
      <c r="F314" t="str">
        <f>IF(E314="","",IFERROR(_xlfn.XLOOKUP(E314,Settings!$F$2:$F$36,Settings!$E$2:$E$36,""),""))</f>
        <v/>
      </c>
    </row>
    <row r="315" spans="1:6" x14ac:dyDescent="0.25">
      <c r="A315" s="40"/>
      <c r="B315" s="41"/>
      <c r="F315" t="str">
        <f>IF(E315="","",IFERROR(_xlfn.XLOOKUP(E315,Settings!$F$2:$F$36,Settings!$E$2:$E$36,""),""))</f>
        <v/>
      </c>
    </row>
    <row r="316" spans="1:6" x14ac:dyDescent="0.25">
      <c r="A316" s="40"/>
      <c r="B316" s="41"/>
      <c r="F316" t="str">
        <f>IF(E316="","",IFERROR(_xlfn.XLOOKUP(E316,Settings!$F$2:$F$36,Settings!$E$2:$E$36,""),""))</f>
        <v/>
      </c>
    </row>
    <row r="317" spans="1:6" x14ac:dyDescent="0.25">
      <c r="A317" s="40"/>
      <c r="B317" s="41"/>
      <c r="F317" t="str">
        <f>IF(E317="","",IFERROR(_xlfn.XLOOKUP(E317,Settings!$F$2:$F$36,Settings!$E$2:$E$36,""),""))</f>
        <v/>
      </c>
    </row>
    <row r="318" spans="1:6" x14ac:dyDescent="0.25">
      <c r="A318" s="40"/>
      <c r="B318" s="41"/>
      <c r="F318" t="str">
        <f>IF(E318="","",IFERROR(_xlfn.XLOOKUP(E318,Settings!$F$2:$F$36,Settings!$E$2:$E$36,""),""))</f>
        <v/>
      </c>
    </row>
    <row r="319" spans="1:6" x14ac:dyDescent="0.25">
      <c r="A319" s="40"/>
      <c r="B319" s="41"/>
      <c r="F319" t="str">
        <f>IF(E319="","",IFERROR(_xlfn.XLOOKUP(E319,Settings!$F$2:$F$36,Settings!$E$2:$E$36,""),""))</f>
        <v/>
      </c>
    </row>
    <row r="320" spans="1:6" x14ac:dyDescent="0.25">
      <c r="A320" s="40"/>
      <c r="B320" s="41"/>
      <c r="F320" t="str">
        <f>IF(E320="","",IFERROR(_xlfn.XLOOKUP(E320,Settings!$F$2:$F$36,Settings!$E$2:$E$36,""),""))</f>
        <v/>
      </c>
    </row>
    <row r="321" spans="1:6" x14ac:dyDescent="0.25">
      <c r="A321" s="40"/>
      <c r="B321" s="41"/>
      <c r="F321" t="str">
        <f>IF(E321="","",IFERROR(_xlfn.XLOOKUP(E321,Settings!$F$2:$F$36,Settings!$E$2:$E$36,""),""))</f>
        <v/>
      </c>
    </row>
    <row r="322" spans="1:6" x14ac:dyDescent="0.25">
      <c r="A322" s="40"/>
      <c r="B322" s="41"/>
      <c r="F322" t="str">
        <f>IF(E322="","",IFERROR(_xlfn.XLOOKUP(E322,Settings!$F$2:$F$36,Settings!$E$2:$E$36,""),""))</f>
        <v/>
      </c>
    </row>
    <row r="323" spans="1:6" x14ac:dyDescent="0.25">
      <c r="A323" s="40"/>
      <c r="B323" s="41"/>
      <c r="F323" t="str">
        <f>IF(E323="","",IFERROR(_xlfn.XLOOKUP(E323,Settings!$F$2:$F$36,Settings!$E$2:$E$36,""),""))</f>
        <v/>
      </c>
    </row>
    <row r="324" spans="1:6" x14ac:dyDescent="0.25">
      <c r="A324" s="40"/>
      <c r="B324" s="41"/>
      <c r="F324" t="str">
        <f>IF(E324="","",IFERROR(_xlfn.XLOOKUP(E324,Settings!$F$2:$F$36,Settings!$E$2:$E$36,""),""))</f>
        <v/>
      </c>
    </row>
    <row r="325" spans="1:6" x14ac:dyDescent="0.25">
      <c r="A325" s="40"/>
      <c r="B325" s="41"/>
      <c r="F325" t="str">
        <f>IF(E325="","",IFERROR(_xlfn.XLOOKUP(E325,Settings!$F$2:$F$36,Settings!$E$2:$E$36,""),""))</f>
        <v/>
      </c>
    </row>
    <row r="326" spans="1:6" x14ac:dyDescent="0.25">
      <c r="A326" s="40"/>
      <c r="B326" s="41"/>
      <c r="F326" t="str">
        <f>IF(E326="","",IFERROR(_xlfn.XLOOKUP(E326,Settings!$F$2:$F$36,Settings!$E$2:$E$36,""),""))</f>
        <v/>
      </c>
    </row>
    <row r="327" spans="1:6" x14ac:dyDescent="0.25">
      <c r="A327" s="40"/>
      <c r="B327" s="41"/>
      <c r="F327" t="str">
        <f>IF(E327="","",IFERROR(_xlfn.XLOOKUP(E327,Settings!$F$2:$F$36,Settings!$E$2:$E$36,""),""))</f>
        <v/>
      </c>
    </row>
    <row r="328" spans="1:6" x14ac:dyDescent="0.25">
      <c r="A328" s="40"/>
      <c r="B328" s="41"/>
      <c r="F328" t="str">
        <f>IF(E328="","",IFERROR(_xlfn.XLOOKUP(E328,Settings!$F$2:$F$36,Settings!$E$2:$E$36,""),""))</f>
        <v/>
      </c>
    </row>
    <row r="329" spans="1:6" x14ac:dyDescent="0.25">
      <c r="A329" s="40"/>
      <c r="B329" s="41"/>
      <c r="F329" t="str">
        <f>IF(E329="","",IFERROR(_xlfn.XLOOKUP(E329,Settings!$F$2:$F$36,Settings!$E$2:$E$36,""),""))</f>
        <v/>
      </c>
    </row>
    <row r="330" spans="1:6" x14ac:dyDescent="0.25">
      <c r="A330" s="40"/>
      <c r="B330" s="41"/>
      <c r="F330" t="str">
        <f>IF(E330="","",IFERROR(_xlfn.XLOOKUP(E330,Settings!$F$2:$F$36,Settings!$E$2:$E$36,""),""))</f>
        <v/>
      </c>
    </row>
    <row r="331" spans="1:6" x14ac:dyDescent="0.25">
      <c r="A331" s="40"/>
      <c r="B331" s="41"/>
      <c r="F331" t="str">
        <f>IF(E331="","",IFERROR(_xlfn.XLOOKUP(E331,Settings!$F$2:$F$36,Settings!$E$2:$E$36,""),""))</f>
        <v/>
      </c>
    </row>
    <row r="332" spans="1:6" x14ac:dyDescent="0.25">
      <c r="A332" s="40"/>
      <c r="B332" s="41"/>
      <c r="F332" t="str">
        <f>IF(E332="","",IFERROR(_xlfn.XLOOKUP(E332,Settings!$F$2:$F$36,Settings!$E$2:$E$36,""),""))</f>
        <v/>
      </c>
    </row>
    <row r="333" spans="1:6" x14ac:dyDescent="0.25">
      <c r="A333" s="40"/>
      <c r="B333" s="41"/>
      <c r="F333" t="str">
        <f>IF(E333="","",IFERROR(_xlfn.XLOOKUP(E333,Settings!$F$2:$F$36,Settings!$E$2:$E$36,""),""))</f>
        <v/>
      </c>
    </row>
    <row r="334" spans="1:6" x14ac:dyDescent="0.25">
      <c r="A334" s="40"/>
      <c r="B334" s="41"/>
      <c r="F334" t="str">
        <f>IF(E334="","",IFERROR(_xlfn.XLOOKUP(E334,Settings!$F$2:$F$36,Settings!$E$2:$E$36,""),""))</f>
        <v/>
      </c>
    </row>
    <row r="335" spans="1:6" x14ac:dyDescent="0.25">
      <c r="A335" s="40"/>
      <c r="B335" s="41"/>
      <c r="F335" t="str">
        <f>IF(E335="","",IFERROR(_xlfn.XLOOKUP(E335,Settings!$F$2:$F$36,Settings!$E$2:$E$36,""),""))</f>
        <v/>
      </c>
    </row>
    <row r="336" spans="1:6" x14ac:dyDescent="0.25">
      <c r="A336" s="40"/>
      <c r="B336" s="41"/>
      <c r="F336" t="str">
        <f>IF(E336="","",IFERROR(_xlfn.XLOOKUP(E336,Settings!$F$2:$F$36,Settings!$E$2:$E$36,""),""))</f>
        <v/>
      </c>
    </row>
    <row r="337" spans="1:6" x14ac:dyDescent="0.25">
      <c r="A337" s="40"/>
      <c r="B337" s="41"/>
      <c r="F337" t="str">
        <f>IF(E337="","",IFERROR(_xlfn.XLOOKUP(E337,Settings!$F$2:$F$36,Settings!$E$2:$E$36,""),""))</f>
        <v/>
      </c>
    </row>
    <row r="338" spans="1:6" x14ac:dyDescent="0.25">
      <c r="A338" s="40"/>
      <c r="B338" s="41"/>
      <c r="F338" t="str">
        <f>IF(E338="","",IFERROR(_xlfn.XLOOKUP(E338,Settings!$F$2:$F$36,Settings!$E$2:$E$36,""),""))</f>
        <v/>
      </c>
    </row>
    <row r="339" spans="1:6" x14ac:dyDescent="0.25">
      <c r="A339" s="40"/>
      <c r="B339" s="41"/>
      <c r="F339" t="str">
        <f>IF(E339="","",IFERROR(_xlfn.XLOOKUP(E339,Settings!$F$2:$F$36,Settings!$E$2:$E$36,""),""))</f>
        <v/>
      </c>
    </row>
    <row r="340" spans="1:6" x14ac:dyDescent="0.25">
      <c r="A340" s="40"/>
      <c r="B340" s="41"/>
      <c r="F340" t="str">
        <f>IF(E340="","",IFERROR(_xlfn.XLOOKUP(E340,Settings!$F$2:$F$36,Settings!$E$2:$E$36,""),""))</f>
        <v/>
      </c>
    </row>
    <row r="341" spans="1:6" x14ac:dyDescent="0.25">
      <c r="A341" s="40"/>
      <c r="B341" s="41"/>
      <c r="F341" t="str">
        <f>IF(E341="","",IFERROR(_xlfn.XLOOKUP(E341,Settings!$F$2:$F$36,Settings!$E$2:$E$36,""),""))</f>
        <v/>
      </c>
    </row>
    <row r="342" spans="1:6" x14ac:dyDescent="0.25">
      <c r="A342" s="40"/>
      <c r="B342" s="41"/>
      <c r="F342" t="str">
        <f>IF(E342="","",IFERROR(_xlfn.XLOOKUP(E342,Settings!$F$2:$F$36,Settings!$E$2:$E$36,""),""))</f>
        <v/>
      </c>
    </row>
    <row r="343" spans="1:6" x14ac:dyDescent="0.25">
      <c r="A343" s="40"/>
      <c r="B343" s="41"/>
      <c r="F343" t="str">
        <f>IF(E343="","",IFERROR(_xlfn.XLOOKUP(E343,Settings!$F$2:$F$36,Settings!$E$2:$E$36,""),""))</f>
        <v/>
      </c>
    </row>
    <row r="344" spans="1:6" x14ac:dyDescent="0.25">
      <c r="A344" s="40"/>
      <c r="B344" s="41"/>
      <c r="F344" t="str">
        <f>IF(E344="","",IFERROR(_xlfn.XLOOKUP(E344,Settings!$F$2:$F$36,Settings!$E$2:$E$36,""),""))</f>
        <v/>
      </c>
    </row>
    <row r="345" spans="1:6" x14ac:dyDescent="0.25">
      <c r="A345" s="40"/>
      <c r="B345" s="41"/>
      <c r="F345" t="str">
        <f>IF(E345="","",IFERROR(_xlfn.XLOOKUP(E345,Settings!$F$2:$F$36,Settings!$E$2:$E$36,""),""))</f>
        <v/>
      </c>
    </row>
    <row r="346" spans="1:6" x14ac:dyDescent="0.25">
      <c r="A346" s="40"/>
      <c r="B346" s="41"/>
      <c r="F346" t="str">
        <f>IF(E346="","",IFERROR(_xlfn.XLOOKUP(E346,Settings!$F$2:$F$36,Settings!$E$2:$E$36,""),""))</f>
        <v/>
      </c>
    </row>
    <row r="347" spans="1:6" x14ac:dyDescent="0.25">
      <c r="A347" s="40"/>
      <c r="B347" s="41"/>
      <c r="F347" t="str">
        <f>IF(E347="","",IFERROR(_xlfn.XLOOKUP(E347,Settings!$F$2:$F$36,Settings!$E$2:$E$36,""),""))</f>
        <v/>
      </c>
    </row>
    <row r="348" spans="1:6" x14ac:dyDescent="0.25">
      <c r="A348" s="40"/>
      <c r="B348" s="41"/>
      <c r="F348" t="str">
        <f>IF(E348="","",IFERROR(_xlfn.XLOOKUP(E348,Settings!$F$2:$F$36,Settings!$E$2:$E$36,""),""))</f>
        <v/>
      </c>
    </row>
    <row r="349" spans="1:6" x14ac:dyDescent="0.25">
      <c r="A349" s="40"/>
      <c r="B349" s="41"/>
      <c r="F349" t="str">
        <f>IF(E349="","",IFERROR(_xlfn.XLOOKUP(E349,Settings!$F$2:$F$36,Settings!$E$2:$E$36,""),""))</f>
        <v/>
      </c>
    </row>
    <row r="350" spans="1:6" x14ac:dyDescent="0.25">
      <c r="A350" s="40"/>
      <c r="B350" s="41"/>
      <c r="F350" t="str">
        <f>IF(E350="","",IFERROR(_xlfn.XLOOKUP(E350,Settings!$F$2:$F$36,Settings!$E$2:$E$36,""),""))</f>
        <v/>
      </c>
    </row>
    <row r="351" spans="1:6" x14ac:dyDescent="0.25">
      <c r="A351" s="40"/>
      <c r="B351" s="41"/>
      <c r="F351" t="str">
        <f>IF(E351="","",IFERROR(_xlfn.XLOOKUP(E351,Settings!$F$2:$F$36,Settings!$E$2:$E$36,""),""))</f>
        <v/>
      </c>
    </row>
    <row r="352" spans="1:6" x14ac:dyDescent="0.25">
      <c r="A352" s="40"/>
      <c r="B352" s="41"/>
      <c r="F352" t="str">
        <f>IF(E352="","",IFERROR(_xlfn.XLOOKUP(E352,Settings!$F$2:$F$36,Settings!$E$2:$E$36,""),""))</f>
        <v/>
      </c>
    </row>
    <row r="353" spans="1:6" x14ac:dyDescent="0.25">
      <c r="A353" s="40"/>
      <c r="B353" s="41"/>
      <c r="F353" t="str">
        <f>IF(E353="","",IFERROR(_xlfn.XLOOKUP(E353,Settings!$F$2:$F$36,Settings!$E$2:$E$36,""),""))</f>
        <v/>
      </c>
    </row>
    <row r="354" spans="1:6" x14ac:dyDescent="0.25">
      <c r="A354" s="40"/>
      <c r="B354" s="41"/>
      <c r="F354" t="str">
        <f>IF(E354="","",IFERROR(_xlfn.XLOOKUP(E354,Settings!$F$2:$F$36,Settings!$E$2:$E$36,""),""))</f>
        <v/>
      </c>
    </row>
    <row r="355" spans="1:6" x14ac:dyDescent="0.25">
      <c r="A355" s="40"/>
      <c r="B355" s="41"/>
      <c r="F355" t="str">
        <f>IF(E355="","",IFERROR(_xlfn.XLOOKUP(E355,Settings!$F$2:$F$36,Settings!$E$2:$E$36,""),""))</f>
        <v/>
      </c>
    </row>
    <row r="356" spans="1:6" x14ac:dyDescent="0.25">
      <c r="A356" s="40"/>
      <c r="B356" s="41"/>
      <c r="F356" t="str">
        <f>IF(E356="","",IFERROR(_xlfn.XLOOKUP(E356,Settings!$F$2:$F$36,Settings!$E$2:$E$36,""),""))</f>
        <v/>
      </c>
    </row>
    <row r="357" spans="1:6" x14ac:dyDescent="0.25">
      <c r="A357" s="40"/>
      <c r="B357" s="41"/>
      <c r="F357" t="str">
        <f>IF(E357="","",IFERROR(_xlfn.XLOOKUP(E357,Settings!$F$2:$F$36,Settings!$E$2:$E$36,""),""))</f>
        <v/>
      </c>
    </row>
    <row r="358" spans="1:6" x14ac:dyDescent="0.25">
      <c r="A358" s="40"/>
      <c r="B358" s="41"/>
      <c r="F358" t="str">
        <f>IF(E358="","",IFERROR(_xlfn.XLOOKUP(E358,Settings!$F$2:$F$36,Settings!$E$2:$E$36,""),""))</f>
        <v/>
      </c>
    </row>
    <row r="359" spans="1:6" x14ac:dyDescent="0.25">
      <c r="A359" s="40"/>
      <c r="B359" s="41"/>
      <c r="F359" t="str">
        <f>IF(E359="","",IFERROR(_xlfn.XLOOKUP(E359,Settings!$F$2:$F$36,Settings!$E$2:$E$36,""),""))</f>
        <v/>
      </c>
    </row>
    <row r="360" spans="1:6" x14ac:dyDescent="0.25">
      <c r="A360" s="40"/>
      <c r="B360" s="41"/>
      <c r="F360" t="str">
        <f>IF(E360="","",IFERROR(_xlfn.XLOOKUP(E360,Settings!$F$2:$F$36,Settings!$E$2:$E$36,""),""))</f>
        <v/>
      </c>
    </row>
    <row r="361" spans="1:6" x14ac:dyDescent="0.25">
      <c r="A361" s="40"/>
      <c r="B361" s="41"/>
      <c r="F361" t="str">
        <f>IF(E361="","",IFERROR(_xlfn.XLOOKUP(E361,Settings!$F$2:$F$36,Settings!$E$2:$E$36,""),""))</f>
        <v/>
      </c>
    </row>
    <row r="362" spans="1:6" x14ac:dyDescent="0.25">
      <c r="A362" s="40"/>
      <c r="B362" s="41"/>
      <c r="F362" t="str">
        <f>IF(E362="","",IFERROR(_xlfn.XLOOKUP(E362,Settings!$F$2:$F$36,Settings!$E$2:$E$36,""),""))</f>
        <v/>
      </c>
    </row>
    <row r="363" spans="1:6" x14ac:dyDescent="0.25">
      <c r="A363" s="40"/>
      <c r="B363" s="41"/>
      <c r="F363" t="str">
        <f>IF(E363="","",IFERROR(_xlfn.XLOOKUP(E363,Settings!$F$2:$F$36,Settings!$E$2:$E$36,""),""))</f>
        <v/>
      </c>
    </row>
    <row r="364" spans="1:6" x14ac:dyDescent="0.25">
      <c r="A364" s="40"/>
      <c r="B364" s="41"/>
      <c r="F364" t="str">
        <f>IF(E364="","",IFERROR(_xlfn.XLOOKUP(E364,Settings!$F$2:$F$36,Settings!$E$2:$E$36,""),""))</f>
        <v/>
      </c>
    </row>
    <row r="365" spans="1:6" x14ac:dyDescent="0.25">
      <c r="A365" s="40"/>
      <c r="B365" s="41"/>
      <c r="F365" t="str">
        <f>IF(E365="","",IFERROR(_xlfn.XLOOKUP(E365,Settings!$F$2:$F$36,Settings!$E$2:$E$36,""),""))</f>
        <v/>
      </c>
    </row>
    <row r="366" spans="1:6" x14ac:dyDescent="0.25">
      <c r="A366" s="40"/>
      <c r="B366" s="41"/>
      <c r="F366" t="str">
        <f>IF(E366="","",IFERROR(_xlfn.XLOOKUP(E366,Settings!$F$2:$F$36,Settings!$E$2:$E$36,""),""))</f>
        <v/>
      </c>
    </row>
    <row r="367" spans="1:6" x14ac:dyDescent="0.25">
      <c r="A367" s="40"/>
      <c r="B367" s="41"/>
      <c r="F367" t="str">
        <f>IF(E367="","",IFERROR(_xlfn.XLOOKUP(E367,Settings!$F$2:$F$36,Settings!$E$2:$E$36,""),""))</f>
        <v/>
      </c>
    </row>
    <row r="368" spans="1:6" x14ac:dyDescent="0.25">
      <c r="A368" s="40"/>
      <c r="B368" s="41"/>
      <c r="F368" t="str">
        <f>IF(E368="","",IFERROR(_xlfn.XLOOKUP(E368,Settings!$F$2:$F$36,Settings!$E$2:$E$36,""),""))</f>
        <v/>
      </c>
    </row>
    <row r="369" spans="1:6" x14ac:dyDescent="0.25">
      <c r="A369" s="40"/>
      <c r="B369" s="41"/>
      <c r="F369" t="str">
        <f>IF(E369="","",IFERROR(_xlfn.XLOOKUP(E369,Settings!$F$2:$F$36,Settings!$E$2:$E$36,""),""))</f>
        <v/>
      </c>
    </row>
    <row r="370" spans="1:6" x14ac:dyDescent="0.25">
      <c r="A370" s="40"/>
      <c r="B370" s="41"/>
      <c r="F370" t="str">
        <f>IF(E370="","",IFERROR(_xlfn.XLOOKUP(E370,Settings!$F$2:$F$36,Settings!$E$2:$E$36,""),""))</f>
        <v/>
      </c>
    </row>
    <row r="371" spans="1:6" x14ac:dyDescent="0.25">
      <c r="A371" s="40"/>
      <c r="B371" s="41"/>
      <c r="F371" t="str">
        <f>IF(E371="","",IFERROR(_xlfn.XLOOKUP(E371,Settings!$F$2:$F$36,Settings!$E$2:$E$36,""),""))</f>
        <v/>
      </c>
    </row>
    <row r="372" spans="1:6" x14ac:dyDescent="0.25">
      <c r="A372" s="40"/>
      <c r="B372" s="41"/>
      <c r="F372" t="str">
        <f>IF(E372="","",IFERROR(_xlfn.XLOOKUP(E372,Settings!$F$2:$F$36,Settings!$E$2:$E$36,""),""))</f>
        <v/>
      </c>
    </row>
    <row r="373" spans="1:6" x14ac:dyDescent="0.25">
      <c r="A373" s="40"/>
      <c r="B373" s="41"/>
      <c r="F373" t="str">
        <f>IF(E373="","",IFERROR(_xlfn.XLOOKUP(E373,Settings!$F$2:$F$36,Settings!$E$2:$E$36,""),""))</f>
        <v/>
      </c>
    </row>
    <row r="374" spans="1:6" x14ac:dyDescent="0.25">
      <c r="A374" s="40"/>
      <c r="B374" s="41"/>
      <c r="F374" t="str">
        <f>IF(E374="","",IFERROR(_xlfn.XLOOKUP(E374,Settings!$F$2:$F$36,Settings!$E$2:$E$36,""),""))</f>
        <v/>
      </c>
    </row>
    <row r="375" spans="1:6" x14ac:dyDescent="0.25">
      <c r="A375" s="40"/>
      <c r="B375" s="41"/>
      <c r="F375" t="str">
        <f>IF(E375="","",IFERROR(_xlfn.XLOOKUP(E375,Settings!$F$2:$F$36,Settings!$E$2:$E$36,""),""))</f>
        <v/>
      </c>
    </row>
    <row r="376" spans="1:6" x14ac:dyDescent="0.25">
      <c r="A376" s="40"/>
      <c r="B376" s="41"/>
      <c r="F376" t="str">
        <f>IF(E376="","",IFERROR(_xlfn.XLOOKUP(E376,Settings!$F$2:$F$36,Settings!$E$2:$E$36,""),""))</f>
        <v/>
      </c>
    </row>
    <row r="377" spans="1:6" x14ac:dyDescent="0.25">
      <c r="A377" s="40"/>
      <c r="B377" s="41"/>
      <c r="F377" t="str">
        <f>IF(E377="","",IFERROR(_xlfn.XLOOKUP(E377,Settings!$F$2:$F$36,Settings!$E$2:$E$36,""),""))</f>
        <v/>
      </c>
    </row>
    <row r="378" spans="1:6" x14ac:dyDescent="0.25">
      <c r="A378" s="40"/>
      <c r="B378" s="41"/>
      <c r="F378" t="str">
        <f>IF(E378="","",IFERROR(_xlfn.XLOOKUP(E378,Settings!$F$2:$F$36,Settings!$E$2:$E$36,""),""))</f>
        <v/>
      </c>
    </row>
    <row r="379" spans="1:6" x14ac:dyDescent="0.25">
      <c r="A379" s="40"/>
      <c r="B379" s="41"/>
      <c r="F379" t="str">
        <f>IF(E379="","",IFERROR(_xlfn.XLOOKUP(E379,Settings!$F$2:$F$36,Settings!$E$2:$E$36,""),""))</f>
        <v/>
      </c>
    </row>
    <row r="380" spans="1:6" x14ac:dyDescent="0.25">
      <c r="A380" s="40"/>
      <c r="B380" s="41"/>
      <c r="F380" t="str">
        <f>IF(E380="","",IFERROR(_xlfn.XLOOKUP(E380,Settings!$F$2:$F$36,Settings!$E$2:$E$36,""),""))</f>
        <v/>
      </c>
    </row>
    <row r="381" spans="1:6" x14ac:dyDescent="0.25">
      <c r="A381" s="40"/>
      <c r="B381" s="41"/>
      <c r="F381" t="str">
        <f>IF(E381="","",IFERROR(_xlfn.XLOOKUP(E381,Settings!$F$2:$F$36,Settings!$E$2:$E$36,""),""))</f>
        <v/>
      </c>
    </row>
    <row r="382" spans="1:6" x14ac:dyDescent="0.25">
      <c r="A382" s="40"/>
      <c r="B382" s="41"/>
      <c r="F382" t="str">
        <f>IF(E382="","",IFERROR(_xlfn.XLOOKUP(E382,Settings!$F$2:$F$36,Settings!$E$2:$E$36,""),""))</f>
        <v/>
      </c>
    </row>
    <row r="383" spans="1:6" x14ac:dyDescent="0.25">
      <c r="A383" s="40"/>
      <c r="B383" s="41"/>
      <c r="F383" t="str">
        <f>IF(E383="","",IFERROR(_xlfn.XLOOKUP(E383,Settings!$F$2:$F$36,Settings!$E$2:$E$36,""),""))</f>
        <v/>
      </c>
    </row>
    <row r="384" spans="1:6" x14ac:dyDescent="0.25">
      <c r="A384" s="40"/>
      <c r="B384" s="41"/>
      <c r="F384" t="str">
        <f>IF(E384="","",IFERROR(_xlfn.XLOOKUP(E384,Settings!$F$2:$F$36,Settings!$E$2:$E$36,""),""))</f>
        <v/>
      </c>
    </row>
    <row r="385" spans="1:6" x14ac:dyDescent="0.25">
      <c r="A385" s="40"/>
      <c r="B385" s="41"/>
      <c r="F385" t="str">
        <f>IF(E385="","",IFERROR(_xlfn.XLOOKUP(E385,Settings!$F$2:$F$36,Settings!$E$2:$E$36,""),""))</f>
        <v/>
      </c>
    </row>
    <row r="386" spans="1:6" x14ac:dyDescent="0.25">
      <c r="A386" s="40"/>
      <c r="B386" s="41"/>
      <c r="F386" t="str">
        <f>IF(E386="","",IFERROR(_xlfn.XLOOKUP(E386,Settings!$F$2:$F$36,Settings!$E$2:$E$36,""),""))</f>
        <v/>
      </c>
    </row>
    <row r="387" spans="1:6" x14ac:dyDescent="0.25">
      <c r="A387" s="40"/>
      <c r="B387" s="41"/>
      <c r="F387" t="str">
        <f>IF(E387="","",IFERROR(_xlfn.XLOOKUP(E387,Settings!$F$2:$F$36,Settings!$E$2:$E$36,""),""))</f>
        <v/>
      </c>
    </row>
    <row r="388" spans="1:6" x14ac:dyDescent="0.25">
      <c r="A388" s="40"/>
      <c r="B388" s="41"/>
      <c r="F388" t="str">
        <f>IF(E388="","",IFERROR(_xlfn.XLOOKUP(E388,Settings!$F$2:$F$36,Settings!$E$2:$E$36,""),""))</f>
        <v/>
      </c>
    </row>
    <row r="389" spans="1:6" x14ac:dyDescent="0.25">
      <c r="A389" s="40"/>
      <c r="B389" s="41"/>
      <c r="F389" t="str">
        <f>IF(E389="","",IFERROR(_xlfn.XLOOKUP(E389,Settings!$F$2:$F$36,Settings!$E$2:$E$36,""),""))</f>
        <v/>
      </c>
    </row>
    <row r="390" spans="1:6" x14ac:dyDescent="0.25">
      <c r="A390" s="40"/>
      <c r="B390" s="41"/>
      <c r="F390" t="str">
        <f>IF(E390="","",IFERROR(_xlfn.XLOOKUP(E390,Settings!$F$2:$F$36,Settings!$E$2:$E$36,""),""))</f>
        <v/>
      </c>
    </row>
    <row r="391" spans="1:6" x14ac:dyDescent="0.25">
      <c r="A391" s="40"/>
      <c r="B391" s="41"/>
      <c r="F391" t="str">
        <f>IF(E391="","",IFERROR(_xlfn.XLOOKUP(E391,Settings!$F$2:$F$36,Settings!$E$2:$E$36,""),""))</f>
        <v/>
      </c>
    </row>
    <row r="392" spans="1:6" x14ac:dyDescent="0.25">
      <c r="A392" s="40"/>
      <c r="B392" s="41"/>
      <c r="F392" t="str">
        <f>IF(E392="","",IFERROR(_xlfn.XLOOKUP(E392,Settings!$F$2:$F$36,Settings!$E$2:$E$36,""),""))</f>
        <v/>
      </c>
    </row>
    <row r="393" spans="1:6" x14ac:dyDescent="0.25">
      <c r="A393" s="40"/>
      <c r="B393" s="41"/>
      <c r="F393" t="str">
        <f>IF(E393="","",IFERROR(_xlfn.XLOOKUP(E393,Settings!$F$2:$F$36,Settings!$E$2:$E$36,""),""))</f>
        <v/>
      </c>
    </row>
    <row r="394" spans="1:6" x14ac:dyDescent="0.25">
      <c r="A394" s="40"/>
      <c r="B394" s="41"/>
      <c r="F394" t="str">
        <f>IF(E394="","",IFERROR(_xlfn.XLOOKUP(E394,Settings!$F$2:$F$36,Settings!$E$2:$E$36,""),""))</f>
        <v/>
      </c>
    </row>
    <row r="395" spans="1:6" x14ac:dyDescent="0.25">
      <c r="A395" s="40"/>
      <c r="B395" s="41"/>
      <c r="F395" t="str">
        <f>IF(E395="","",IFERROR(_xlfn.XLOOKUP(E395,Settings!$F$2:$F$36,Settings!$E$2:$E$36,""),""))</f>
        <v/>
      </c>
    </row>
    <row r="396" spans="1:6" x14ac:dyDescent="0.25">
      <c r="A396" s="40"/>
      <c r="B396" s="41"/>
      <c r="F396" t="str">
        <f>IF(E396="","",IFERROR(_xlfn.XLOOKUP(E396,Settings!$F$2:$F$36,Settings!$E$2:$E$36,""),""))</f>
        <v/>
      </c>
    </row>
    <row r="397" spans="1:6" x14ac:dyDescent="0.25">
      <c r="A397" s="40"/>
      <c r="B397" s="41"/>
      <c r="F397" t="str">
        <f>IF(E397="","",IFERROR(_xlfn.XLOOKUP(E397,Settings!$F$2:$F$36,Settings!$E$2:$E$36,""),""))</f>
        <v/>
      </c>
    </row>
    <row r="398" spans="1:6" x14ac:dyDescent="0.25">
      <c r="A398" s="40"/>
      <c r="B398" s="41"/>
      <c r="F398" t="str">
        <f>IF(E398="","",IFERROR(_xlfn.XLOOKUP(E398,Settings!$F$2:$F$36,Settings!$E$2:$E$36,""),""))</f>
        <v/>
      </c>
    </row>
    <row r="399" spans="1:6" x14ac:dyDescent="0.25">
      <c r="A399" s="40"/>
      <c r="B399" s="41"/>
      <c r="F399" t="str">
        <f>IF(E399="","",IFERROR(_xlfn.XLOOKUP(E399,Settings!$F$2:$F$36,Settings!$E$2:$E$36,""),""))</f>
        <v/>
      </c>
    </row>
    <row r="400" spans="1:6" x14ac:dyDescent="0.25">
      <c r="A400" s="40"/>
      <c r="B400" s="41"/>
      <c r="F400" t="str">
        <f>IF(E400="","",IFERROR(_xlfn.XLOOKUP(E400,Settings!$F$2:$F$36,Settings!$E$2:$E$36,""),""))</f>
        <v/>
      </c>
    </row>
    <row r="401" spans="1:6" x14ac:dyDescent="0.25">
      <c r="A401" s="40"/>
      <c r="B401" s="41"/>
      <c r="F401" t="str">
        <f>IF(E401="","",IFERROR(_xlfn.XLOOKUP(E401,Settings!$F$2:$F$36,Settings!$E$2:$E$36,""),""))</f>
        <v/>
      </c>
    </row>
    <row r="402" spans="1:6" x14ac:dyDescent="0.25">
      <c r="A402" s="40"/>
      <c r="B402" s="41"/>
      <c r="F402" t="str">
        <f>IF(E402="","",IFERROR(_xlfn.XLOOKUP(E402,Settings!$F$2:$F$36,Settings!$E$2:$E$36,""),""))</f>
        <v/>
      </c>
    </row>
    <row r="403" spans="1:6" x14ac:dyDescent="0.25">
      <c r="A403" s="40"/>
      <c r="B403" s="41"/>
      <c r="F403" t="str">
        <f>IF(E403="","",IFERROR(_xlfn.XLOOKUP(E403,Settings!$F$2:$F$36,Settings!$E$2:$E$36,""),""))</f>
        <v/>
      </c>
    </row>
    <row r="404" spans="1:6" x14ac:dyDescent="0.25">
      <c r="A404" s="40"/>
      <c r="B404" s="41"/>
      <c r="F404" t="str">
        <f>IF(E404="","",IFERROR(_xlfn.XLOOKUP(E404,Settings!$F$2:$F$36,Settings!$E$2:$E$36,""),""))</f>
        <v/>
      </c>
    </row>
    <row r="405" spans="1:6" x14ac:dyDescent="0.25">
      <c r="A405" s="40"/>
      <c r="B405" s="41"/>
      <c r="F405" t="str">
        <f>IF(E405="","",IFERROR(_xlfn.XLOOKUP(E405,Settings!$F$2:$F$36,Settings!$E$2:$E$36,""),""))</f>
        <v/>
      </c>
    </row>
    <row r="406" spans="1:6" x14ac:dyDescent="0.25">
      <c r="A406" s="40"/>
      <c r="B406" s="41"/>
      <c r="F406" t="str">
        <f>IF(E406="","",IFERROR(_xlfn.XLOOKUP(E406,Settings!$F$2:$F$36,Settings!$E$2:$E$36,""),""))</f>
        <v/>
      </c>
    </row>
    <row r="407" spans="1:6" x14ac:dyDescent="0.25">
      <c r="A407" s="40"/>
      <c r="B407" s="41"/>
      <c r="F407" t="str">
        <f>IF(E407="","",IFERROR(_xlfn.XLOOKUP(E407,Settings!$F$2:$F$36,Settings!$E$2:$E$36,""),""))</f>
        <v/>
      </c>
    </row>
    <row r="408" spans="1:6" x14ac:dyDescent="0.25">
      <c r="A408" s="40"/>
      <c r="B408" s="41"/>
      <c r="F408" t="str">
        <f>IF(E408="","",IFERROR(_xlfn.XLOOKUP(E408,Settings!$F$2:$F$36,Settings!$E$2:$E$36,""),""))</f>
        <v/>
      </c>
    </row>
    <row r="409" spans="1:6" x14ac:dyDescent="0.25">
      <c r="A409" s="40"/>
      <c r="B409" s="41"/>
      <c r="F409" t="str">
        <f>IF(E409="","",IFERROR(_xlfn.XLOOKUP(E409,Settings!$F$2:$F$36,Settings!$E$2:$E$36,""),""))</f>
        <v/>
      </c>
    </row>
    <row r="410" spans="1:6" x14ac:dyDescent="0.25">
      <c r="A410" s="40"/>
      <c r="B410" s="41"/>
      <c r="F410" t="str">
        <f>IF(E410="","",IFERROR(_xlfn.XLOOKUP(E410,Settings!$F$2:$F$36,Settings!$E$2:$E$36,""),""))</f>
        <v/>
      </c>
    </row>
    <row r="411" spans="1:6" x14ac:dyDescent="0.25">
      <c r="A411" s="40"/>
      <c r="B411" s="41"/>
      <c r="F411" t="str">
        <f>IF(E411="","",IFERROR(_xlfn.XLOOKUP(E411,Settings!$F$2:$F$36,Settings!$E$2:$E$36,""),""))</f>
        <v/>
      </c>
    </row>
    <row r="412" spans="1:6" x14ac:dyDescent="0.25">
      <c r="A412" s="40"/>
      <c r="B412" s="41"/>
      <c r="F412" t="str">
        <f>IF(E412="","",IFERROR(_xlfn.XLOOKUP(E412,Settings!$F$2:$F$36,Settings!$E$2:$E$36,""),""))</f>
        <v/>
      </c>
    </row>
    <row r="413" spans="1:6" x14ac:dyDescent="0.25">
      <c r="A413" s="40"/>
      <c r="B413" s="41"/>
      <c r="F413" t="str">
        <f>IF(E413="","",IFERROR(_xlfn.XLOOKUP(E413,Settings!$F$2:$F$36,Settings!$E$2:$E$36,""),""))</f>
        <v/>
      </c>
    </row>
    <row r="414" spans="1:6" x14ac:dyDescent="0.25">
      <c r="A414" s="40"/>
      <c r="B414" s="41"/>
      <c r="F414" t="str">
        <f>IF(E414="","",IFERROR(_xlfn.XLOOKUP(E414,Settings!$F$2:$F$36,Settings!$E$2:$E$36,""),""))</f>
        <v/>
      </c>
    </row>
    <row r="415" spans="1:6" x14ac:dyDescent="0.25">
      <c r="A415" s="40"/>
      <c r="B415" s="41"/>
      <c r="F415" t="str">
        <f>IF(E415="","",IFERROR(_xlfn.XLOOKUP(E415,Settings!$F$2:$F$36,Settings!$E$2:$E$36,""),""))</f>
        <v/>
      </c>
    </row>
    <row r="416" spans="1:6" x14ac:dyDescent="0.25">
      <c r="A416" s="40"/>
      <c r="B416" s="41"/>
      <c r="F416" t="str">
        <f>IF(E416="","",IFERROR(_xlfn.XLOOKUP(E416,Settings!$F$2:$F$36,Settings!$E$2:$E$36,""),""))</f>
        <v/>
      </c>
    </row>
    <row r="417" spans="1:6" x14ac:dyDescent="0.25">
      <c r="A417" s="40"/>
      <c r="B417" s="41"/>
      <c r="F417" t="str">
        <f>IF(E417="","",IFERROR(_xlfn.XLOOKUP(E417,Settings!$F$2:$F$36,Settings!$E$2:$E$36,""),""))</f>
        <v/>
      </c>
    </row>
    <row r="418" spans="1:6" x14ac:dyDescent="0.25">
      <c r="A418" s="40"/>
      <c r="B418" s="41"/>
      <c r="F418" t="str">
        <f>IF(E418="","",IFERROR(_xlfn.XLOOKUP(E418,Settings!$F$2:$F$36,Settings!$E$2:$E$36,""),""))</f>
        <v/>
      </c>
    </row>
    <row r="419" spans="1:6" x14ac:dyDescent="0.25">
      <c r="A419" s="40"/>
      <c r="B419" s="41"/>
      <c r="F419" t="str">
        <f>IF(E419="","",IFERROR(_xlfn.XLOOKUP(E419,Settings!$F$2:$F$36,Settings!$E$2:$E$36,""),""))</f>
        <v/>
      </c>
    </row>
    <row r="420" spans="1:6" x14ac:dyDescent="0.25">
      <c r="A420" s="40"/>
      <c r="B420" s="41"/>
      <c r="F420" t="str">
        <f>IF(E420="","",IFERROR(_xlfn.XLOOKUP(E420,Settings!$F$2:$F$36,Settings!$E$2:$E$36,""),""))</f>
        <v/>
      </c>
    </row>
    <row r="421" spans="1:6" x14ac:dyDescent="0.25">
      <c r="A421" s="40"/>
      <c r="B421" s="41"/>
      <c r="F421" t="str">
        <f>IF(E421="","",IFERROR(_xlfn.XLOOKUP(E421,Settings!$F$2:$F$36,Settings!$E$2:$E$36,""),""))</f>
        <v/>
      </c>
    </row>
    <row r="422" spans="1:6" x14ac:dyDescent="0.25">
      <c r="A422" s="40"/>
      <c r="B422" s="41"/>
      <c r="F422" t="str">
        <f>IF(E422="","",IFERROR(_xlfn.XLOOKUP(E422,Settings!$F$2:$F$36,Settings!$E$2:$E$36,""),""))</f>
        <v/>
      </c>
    </row>
    <row r="423" spans="1:6" x14ac:dyDescent="0.25">
      <c r="A423" s="40"/>
      <c r="B423" s="41"/>
      <c r="F423" t="str">
        <f>IF(E423="","",IFERROR(_xlfn.XLOOKUP(E423,Settings!$F$2:$F$36,Settings!$E$2:$E$36,""),""))</f>
        <v/>
      </c>
    </row>
    <row r="424" spans="1:6" x14ac:dyDescent="0.25">
      <c r="A424" s="40"/>
      <c r="B424" s="41"/>
      <c r="F424" t="str">
        <f>IF(E424="","",IFERROR(_xlfn.XLOOKUP(E424,Settings!$F$2:$F$36,Settings!$E$2:$E$36,""),""))</f>
        <v/>
      </c>
    </row>
    <row r="425" spans="1:6" x14ac:dyDescent="0.25">
      <c r="A425" s="40"/>
      <c r="B425" s="41"/>
      <c r="F425" t="str">
        <f>IF(E425="","",IFERROR(_xlfn.XLOOKUP(E425,Settings!$F$2:$F$36,Settings!$E$2:$E$36,""),""))</f>
        <v/>
      </c>
    </row>
    <row r="426" spans="1:6" x14ac:dyDescent="0.25">
      <c r="A426" s="40"/>
      <c r="B426" s="41"/>
      <c r="F426" t="str">
        <f>IF(E426="","",IFERROR(_xlfn.XLOOKUP(E426,Settings!$F$2:$F$36,Settings!$E$2:$E$36,""),""))</f>
        <v/>
      </c>
    </row>
    <row r="427" spans="1:6" x14ac:dyDescent="0.25">
      <c r="A427" s="40"/>
      <c r="B427" s="41"/>
      <c r="F427" t="str">
        <f>IF(E427="","",IFERROR(_xlfn.XLOOKUP(E427,Settings!$F$2:$F$36,Settings!$E$2:$E$36,""),""))</f>
        <v/>
      </c>
    </row>
    <row r="428" spans="1:6" x14ac:dyDescent="0.25">
      <c r="A428" s="40"/>
      <c r="B428" s="41"/>
      <c r="F428" t="str">
        <f>IF(E428="","",IFERROR(_xlfn.XLOOKUP(E428,Settings!$F$2:$F$36,Settings!$E$2:$E$36,""),""))</f>
        <v/>
      </c>
    </row>
    <row r="429" spans="1:6" x14ac:dyDescent="0.25">
      <c r="A429" s="40"/>
      <c r="B429" s="41"/>
      <c r="F429" t="str">
        <f>IF(E429="","",IFERROR(_xlfn.XLOOKUP(E429,Settings!$F$2:$F$36,Settings!$E$2:$E$36,""),""))</f>
        <v/>
      </c>
    </row>
    <row r="430" spans="1:6" x14ac:dyDescent="0.25">
      <c r="A430" s="40"/>
      <c r="B430" s="41"/>
      <c r="F430" t="str">
        <f>IF(E430="","",IFERROR(_xlfn.XLOOKUP(E430,Settings!$F$2:$F$36,Settings!$E$2:$E$36,""),""))</f>
        <v/>
      </c>
    </row>
    <row r="431" spans="1:6" x14ac:dyDescent="0.25">
      <c r="A431" s="40"/>
      <c r="B431" s="41"/>
      <c r="F431" t="str">
        <f>IF(E431="","",IFERROR(_xlfn.XLOOKUP(E431,Settings!$F$2:$F$36,Settings!$E$2:$E$36,""),""))</f>
        <v/>
      </c>
    </row>
    <row r="432" spans="1:6" x14ac:dyDescent="0.25">
      <c r="A432" s="40"/>
      <c r="B432" s="41"/>
      <c r="F432" t="str">
        <f>IF(E432="","",IFERROR(_xlfn.XLOOKUP(E432,Settings!$F$2:$F$36,Settings!$E$2:$E$36,""),""))</f>
        <v/>
      </c>
    </row>
    <row r="433" spans="1:6" x14ac:dyDescent="0.25">
      <c r="A433" s="40"/>
      <c r="B433" s="41"/>
      <c r="F433" t="str">
        <f>IF(E433="","",IFERROR(_xlfn.XLOOKUP(E433,Settings!$F$2:$F$36,Settings!$E$2:$E$36,""),""))</f>
        <v/>
      </c>
    </row>
    <row r="434" spans="1:6" x14ac:dyDescent="0.25">
      <c r="A434" s="40"/>
      <c r="B434" s="41"/>
      <c r="F434" t="str">
        <f>IF(E434="","",IFERROR(_xlfn.XLOOKUP(E434,Settings!$F$2:$F$36,Settings!$E$2:$E$36,""),""))</f>
        <v/>
      </c>
    </row>
    <row r="435" spans="1:6" x14ac:dyDescent="0.25">
      <c r="A435" s="40"/>
      <c r="B435" s="41"/>
      <c r="F435" t="str">
        <f>IF(E435="","",IFERROR(_xlfn.XLOOKUP(E435,Settings!$F$2:$F$36,Settings!$E$2:$E$36,""),""))</f>
        <v/>
      </c>
    </row>
    <row r="436" spans="1:6" x14ac:dyDescent="0.25">
      <c r="A436" s="40"/>
      <c r="B436" s="41"/>
      <c r="F436" t="str">
        <f>IF(E436="","",IFERROR(_xlfn.XLOOKUP(E436,Settings!$F$2:$F$36,Settings!$E$2:$E$36,""),""))</f>
        <v/>
      </c>
    </row>
    <row r="437" spans="1:6" x14ac:dyDescent="0.25">
      <c r="A437" s="40"/>
      <c r="B437" s="41"/>
      <c r="F437" t="str">
        <f>IF(E437="","",IFERROR(_xlfn.XLOOKUP(E437,Settings!$F$2:$F$36,Settings!$E$2:$E$36,""),""))</f>
        <v/>
      </c>
    </row>
    <row r="438" spans="1:6" x14ac:dyDescent="0.25">
      <c r="A438" s="40"/>
      <c r="B438" s="41"/>
      <c r="F438" t="str">
        <f>IF(E438="","",IFERROR(_xlfn.XLOOKUP(E438,Settings!$F$2:$F$36,Settings!$E$2:$E$36,""),""))</f>
        <v/>
      </c>
    </row>
    <row r="439" spans="1:6" x14ac:dyDescent="0.25">
      <c r="A439" s="40"/>
      <c r="B439" s="41"/>
      <c r="F439" t="str">
        <f>IF(E439="","",IFERROR(_xlfn.XLOOKUP(E439,Settings!$F$2:$F$36,Settings!$E$2:$E$36,""),""))</f>
        <v/>
      </c>
    </row>
    <row r="440" spans="1:6" x14ac:dyDescent="0.25">
      <c r="A440" s="40"/>
      <c r="B440" s="41"/>
      <c r="F440" t="str">
        <f>IF(E440="","",IFERROR(_xlfn.XLOOKUP(E440,Settings!$F$2:$F$36,Settings!$E$2:$E$36,""),""))</f>
        <v/>
      </c>
    </row>
    <row r="441" spans="1:6" x14ac:dyDescent="0.25">
      <c r="A441" s="40"/>
      <c r="B441" s="41"/>
      <c r="F441" t="str">
        <f>IF(E441="","",IFERROR(_xlfn.XLOOKUP(E441,Settings!$F$2:$F$36,Settings!$E$2:$E$36,""),""))</f>
        <v/>
      </c>
    </row>
    <row r="442" spans="1:6" x14ac:dyDescent="0.25">
      <c r="A442" s="40"/>
      <c r="B442" s="41"/>
      <c r="F442" t="str">
        <f>IF(E442="","",IFERROR(_xlfn.XLOOKUP(E442,Settings!$F$2:$F$36,Settings!$E$2:$E$36,""),""))</f>
        <v/>
      </c>
    </row>
    <row r="443" spans="1:6" x14ac:dyDescent="0.25">
      <c r="A443" s="40"/>
      <c r="B443" s="41"/>
      <c r="F443" t="str">
        <f>IF(E443="","",IFERROR(_xlfn.XLOOKUP(E443,Settings!$F$2:$F$36,Settings!$E$2:$E$36,""),""))</f>
        <v/>
      </c>
    </row>
    <row r="444" spans="1:6" x14ac:dyDescent="0.25">
      <c r="A444" s="40"/>
      <c r="B444" s="41"/>
      <c r="F444" t="str">
        <f>IF(E444="","",IFERROR(_xlfn.XLOOKUP(E444,Settings!$F$2:$F$36,Settings!$E$2:$E$36,""),""))</f>
        <v/>
      </c>
    </row>
    <row r="445" spans="1:6" x14ac:dyDescent="0.25">
      <c r="A445" s="40"/>
      <c r="B445" s="41"/>
      <c r="F445" t="str">
        <f>IF(E445="","",IFERROR(_xlfn.XLOOKUP(E445,Settings!$F$2:$F$36,Settings!$E$2:$E$36,""),""))</f>
        <v/>
      </c>
    </row>
    <row r="446" spans="1:6" x14ac:dyDescent="0.25">
      <c r="A446" s="40"/>
      <c r="B446" s="41"/>
      <c r="F446" t="str">
        <f>IF(E446="","",IFERROR(_xlfn.XLOOKUP(E446,Settings!$F$2:$F$36,Settings!$E$2:$E$36,""),""))</f>
        <v/>
      </c>
    </row>
    <row r="447" spans="1:6" x14ac:dyDescent="0.25">
      <c r="A447" s="40"/>
      <c r="B447" s="41"/>
      <c r="F447" t="str">
        <f>IF(E447="","",IFERROR(_xlfn.XLOOKUP(E447,Settings!$F$2:$F$36,Settings!$E$2:$E$36,""),""))</f>
        <v/>
      </c>
    </row>
    <row r="448" spans="1:6" x14ac:dyDescent="0.25">
      <c r="A448" s="40"/>
      <c r="B448" s="41"/>
      <c r="F448" t="str">
        <f>IF(E448="","",IFERROR(_xlfn.XLOOKUP(E448,Settings!$F$2:$F$36,Settings!$E$2:$E$36,""),""))</f>
        <v/>
      </c>
    </row>
    <row r="449" spans="1:6" x14ac:dyDescent="0.25">
      <c r="A449" s="40"/>
      <c r="B449" s="41"/>
      <c r="F449" t="str">
        <f>IF(E449="","",IFERROR(_xlfn.XLOOKUP(E449,Settings!$F$2:$F$36,Settings!$E$2:$E$36,""),""))</f>
        <v/>
      </c>
    </row>
    <row r="450" spans="1:6" x14ac:dyDescent="0.25">
      <c r="A450" s="40"/>
      <c r="B450" s="41"/>
      <c r="F450" t="str">
        <f>IF(E450="","",IFERROR(_xlfn.XLOOKUP(E450,Settings!$F$2:$F$36,Settings!$E$2:$E$36,""),""))</f>
        <v/>
      </c>
    </row>
    <row r="451" spans="1:6" x14ac:dyDescent="0.25">
      <c r="A451" s="40"/>
      <c r="B451" s="41"/>
      <c r="F451" t="str">
        <f>IF(E451="","",IFERROR(_xlfn.XLOOKUP(E451,Settings!$F$2:$F$36,Settings!$E$2:$E$36,""),""))</f>
        <v/>
      </c>
    </row>
    <row r="452" spans="1:6" x14ac:dyDescent="0.25">
      <c r="A452" s="40"/>
      <c r="B452" s="41"/>
      <c r="F452" t="str">
        <f>IF(E452="","",IFERROR(_xlfn.XLOOKUP(E452,Settings!$F$2:$F$36,Settings!$E$2:$E$36,""),""))</f>
        <v/>
      </c>
    </row>
    <row r="453" spans="1:6" x14ac:dyDescent="0.25">
      <c r="A453" s="40"/>
      <c r="B453" s="41"/>
      <c r="F453" t="str">
        <f>IF(E453="","",IFERROR(_xlfn.XLOOKUP(E453,Settings!$F$2:$F$36,Settings!$E$2:$E$36,""),""))</f>
        <v/>
      </c>
    </row>
    <row r="454" spans="1:6" x14ac:dyDescent="0.25">
      <c r="A454" s="40"/>
      <c r="B454" s="41"/>
      <c r="F454" t="str">
        <f>IF(E454="","",IFERROR(_xlfn.XLOOKUP(E454,Settings!$F$2:$F$36,Settings!$E$2:$E$36,""),""))</f>
        <v/>
      </c>
    </row>
    <row r="455" spans="1:6" x14ac:dyDescent="0.25">
      <c r="A455" s="40"/>
      <c r="B455" s="41"/>
      <c r="F455" t="str">
        <f>IF(E455="","",IFERROR(_xlfn.XLOOKUP(E455,Settings!$F$2:$F$36,Settings!$E$2:$E$36,""),""))</f>
        <v/>
      </c>
    </row>
    <row r="456" spans="1:6" x14ac:dyDescent="0.25">
      <c r="A456" s="40"/>
      <c r="B456" s="41"/>
      <c r="F456" t="str">
        <f>IF(E456="","",IFERROR(_xlfn.XLOOKUP(E456,Settings!$F$2:$F$36,Settings!$E$2:$E$36,""),""))</f>
        <v/>
      </c>
    </row>
    <row r="457" spans="1:6" x14ac:dyDescent="0.25">
      <c r="A457" s="40"/>
      <c r="B457" s="41"/>
      <c r="F457" t="str">
        <f>IF(E457="","",IFERROR(_xlfn.XLOOKUP(E457,Settings!$F$2:$F$36,Settings!$E$2:$E$36,""),""))</f>
        <v/>
      </c>
    </row>
    <row r="458" spans="1:6" x14ac:dyDescent="0.25">
      <c r="A458" s="40"/>
      <c r="B458" s="41"/>
      <c r="F458" t="str">
        <f>IF(E458="","",IFERROR(_xlfn.XLOOKUP(E458,Settings!$F$2:$F$36,Settings!$E$2:$E$36,""),""))</f>
        <v/>
      </c>
    </row>
    <row r="459" spans="1:6" x14ac:dyDescent="0.25">
      <c r="A459" s="40"/>
      <c r="B459" s="41"/>
      <c r="F459" t="str">
        <f>IF(E459="","",IFERROR(_xlfn.XLOOKUP(E459,Settings!$F$2:$F$36,Settings!$E$2:$E$36,""),""))</f>
        <v/>
      </c>
    </row>
    <row r="460" spans="1:6" x14ac:dyDescent="0.25">
      <c r="A460" s="40"/>
      <c r="B460" s="41"/>
      <c r="F460" t="str">
        <f>IF(E460="","",IFERROR(_xlfn.XLOOKUP(E460,Settings!$F$2:$F$36,Settings!$E$2:$E$36,""),""))</f>
        <v/>
      </c>
    </row>
    <row r="461" spans="1:6" x14ac:dyDescent="0.25">
      <c r="A461" s="40"/>
      <c r="B461" s="41"/>
      <c r="F461" t="str">
        <f>IF(E461="","",IFERROR(_xlfn.XLOOKUP(E461,Settings!$F$2:$F$36,Settings!$E$2:$E$36,""),""))</f>
        <v/>
      </c>
    </row>
    <row r="462" spans="1:6" x14ac:dyDescent="0.25">
      <c r="A462" s="40"/>
      <c r="B462" s="41"/>
      <c r="F462" t="str">
        <f>IF(E462="","",IFERROR(_xlfn.XLOOKUP(E462,Settings!$F$2:$F$36,Settings!$E$2:$E$36,""),""))</f>
        <v/>
      </c>
    </row>
    <row r="463" spans="1:6" x14ac:dyDescent="0.25">
      <c r="A463" s="40"/>
      <c r="B463" s="41"/>
      <c r="F463" t="str">
        <f>IF(E463="","",IFERROR(_xlfn.XLOOKUP(E463,Settings!$F$2:$F$36,Settings!$E$2:$E$36,""),""))</f>
        <v/>
      </c>
    </row>
    <row r="464" spans="1:6" x14ac:dyDescent="0.25">
      <c r="A464" s="40"/>
      <c r="B464" s="41"/>
      <c r="F464" t="str">
        <f>IF(E464="","",IFERROR(_xlfn.XLOOKUP(E464,Settings!$F$2:$F$36,Settings!$E$2:$E$36,""),""))</f>
        <v/>
      </c>
    </row>
    <row r="465" spans="1:6" x14ac:dyDescent="0.25">
      <c r="A465" s="40"/>
      <c r="B465" s="41"/>
      <c r="F465" t="str">
        <f>IF(E465="","",IFERROR(_xlfn.XLOOKUP(E465,Settings!$F$2:$F$36,Settings!$E$2:$E$36,""),""))</f>
        <v/>
      </c>
    </row>
    <row r="466" spans="1:6" x14ac:dyDescent="0.25">
      <c r="A466" s="40"/>
      <c r="B466" s="41"/>
      <c r="F466" t="str">
        <f>IF(E466="","",IFERROR(_xlfn.XLOOKUP(E466,Settings!$F$2:$F$36,Settings!$E$2:$E$36,""),""))</f>
        <v/>
      </c>
    </row>
    <row r="467" spans="1:6" x14ac:dyDescent="0.25">
      <c r="A467" s="40"/>
      <c r="B467" s="41"/>
      <c r="F467" t="str">
        <f>IF(E467="","",IFERROR(_xlfn.XLOOKUP(E467,Settings!$F$2:$F$36,Settings!$E$2:$E$36,""),""))</f>
        <v/>
      </c>
    </row>
    <row r="468" spans="1:6" x14ac:dyDescent="0.25">
      <c r="A468" s="40"/>
      <c r="B468" s="41"/>
      <c r="F468" t="str">
        <f>IF(E468="","",IFERROR(_xlfn.XLOOKUP(E468,Settings!$F$2:$F$36,Settings!$E$2:$E$36,""),""))</f>
        <v/>
      </c>
    </row>
    <row r="469" spans="1:6" x14ac:dyDescent="0.25">
      <c r="A469" s="40"/>
      <c r="B469" s="41"/>
      <c r="F469" t="str">
        <f>IF(E469="","",IFERROR(_xlfn.XLOOKUP(E469,Settings!$F$2:$F$36,Settings!$E$2:$E$36,""),""))</f>
        <v/>
      </c>
    </row>
    <row r="470" spans="1:6" x14ac:dyDescent="0.25">
      <c r="A470" s="40"/>
      <c r="B470" s="41"/>
      <c r="F470" t="str">
        <f>IF(E470="","",IFERROR(_xlfn.XLOOKUP(E470,Settings!$F$2:$F$36,Settings!$E$2:$E$36,""),""))</f>
        <v/>
      </c>
    </row>
    <row r="471" spans="1:6" x14ac:dyDescent="0.25">
      <c r="A471" s="40"/>
      <c r="B471" s="41"/>
      <c r="F471" t="str">
        <f>IF(E471="","",IFERROR(_xlfn.XLOOKUP(E471,Settings!$F$2:$F$36,Settings!$E$2:$E$36,""),""))</f>
        <v/>
      </c>
    </row>
    <row r="472" spans="1:6" x14ac:dyDescent="0.25">
      <c r="A472" s="40"/>
      <c r="B472" s="41"/>
      <c r="F472" t="str">
        <f>IF(E472="","",IFERROR(_xlfn.XLOOKUP(E472,Settings!$F$2:$F$36,Settings!$E$2:$E$36,""),""))</f>
        <v/>
      </c>
    </row>
    <row r="473" spans="1:6" x14ac:dyDescent="0.25">
      <c r="A473" s="40"/>
      <c r="B473" s="41"/>
      <c r="F473" t="str">
        <f>IF(E473="","",IFERROR(_xlfn.XLOOKUP(E473,Settings!$F$2:$F$36,Settings!$E$2:$E$36,""),""))</f>
        <v/>
      </c>
    </row>
    <row r="474" spans="1:6" x14ac:dyDescent="0.25">
      <c r="A474" s="40"/>
      <c r="B474" s="41"/>
      <c r="F474" t="str">
        <f>IF(E474="","",IFERROR(_xlfn.XLOOKUP(E474,Settings!$F$2:$F$36,Settings!$E$2:$E$36,""),""))</f>
        <v/>
      </c>
    </row>
    <row r="475" spans="1:6" x14ac:dyDescent="0.25">
      <c r="A475" s="40"/>
      <c r="B475" s="41"/>
      <c r="F475" t="str">
        <f>IF(E475="","",IFERROR(_xlfn.XLOOKUP(E475,Settings!$F$2:$F$36,Settings!$E$2:$E$36,""),""))</f>
        <v/>
      </c>
    </row>
    <row r="476" spans="1:6" x14ac:dyDescent="0.25">
      <c r="A476" s="40"/>
      <c r="B476" s="41"/>
      <c r="F476" t="str">
        <f>IF(E476="","",IFERROR(_xlfn.XLOOKUP(E476,Settings!$F$2:$F$36,Settings!$E$2:$E$36,""),""))</f>
        <v/>
      </c>
    </row>
    <row r="477" spans="1:6" x14ac:dyDescent="0.25">
      <c r="A477" s="40"/>
      <c r="B477" s="41"/>
      <c r="F477" t="str">
        <f>IF(E477="","",IFERROR(_xlfn.XLOOKUP(E477,Settings!$F$2:$F$36,Settings!$E$2:$E$36,""),""))</f>
        <v/>
      </c>
    </row>
    <row r="478" spans="1:6" x14ac:dyDescent="0.25">
      <c r="A478" s="40"/>
      <c r="B478" s="41"/>
      <c r="F478" t="str">
        <f>IF(E478="","",IFERROR(_xlfn.XLOOKUP(E478,Settings!$F$2:$F$36,Settings!$E$2:$E$36,""),""))</f>
        <v/>
      </c>
    </row>
    <row r="479" spans="1:6" x14ac:dyDescent="0.25">
      <c r="A479" s="40"/>
      <c r="B479" s="41"/>
      <c r="F479" t="str">
        <f>IF(E479="","",IFERROR(_xlfn.XLOOKUP(E479,Settings!$F$2:$F$36,Settings!$E$2:$E$36,""),""))</f>
        <v/>
      </c>
    </row>
    <row r="480" spans="1:6" x14ac:dyDescent="0.25">
      <c r="A480" s="40"/>
      <c r="B480" s="41"/>
      <c r="F480" t="str">
        <f>IF(E480="","",IFERROR(_xlfn.XLOOKUP(E480,Settings!$F$2:$F$36,Settings!$E$2:$E$36,""),""))</f>
        <v/>
      </c>
    </row>
    <row r="481" spans="1:6" x14ac:dyDescent="0.25">
      <c r="A481" s="40"/>
      <c r="B481" s="41"/>
      <c r="F481" t="str">
        <f>IF(E481="","",IFERROR(_xlfn.XLOOKUP(E481,Settings!$F$2:$F$36,Settings!$E$2:$E$36,""),""))</f>
        <v/>
      </c>
    </row>
    <row r="482" spans="1:6" x14ac:dyDescent="0.25">
      <c r="A482" s="40"/>
      <c r="B482" s="41"/>
      <c r="F482" t="str">
        <f>IF(E482="","",IFERROR(_xlfn.XLOOKUP(E482,Settings!$F$2:$F$36,Settings!$E$2:$E$36,""),""))</f>
        <v/>
      </c>
    </row>
    <row r="483" spans="1:6" x14ac:dyDescent="0.25">
      <c r="A483" s="40"/>
      <c r="B483" s="41"/>
      <c r="F483" t="str">
        <f>IF(E483="","",IFERROR(_xlfn.XLOOKUP(E483,Settings!$F$2:$F$36,Settings!$E$2:$E$36,""),""))</f>
        <v/>
      </c>
    </row>
    <row r="484" spans="1:6" x14ac:dyDescent="0.25">
      <c r="A484" s="40"/>
      <c r="B484" s="41"/>
      <c r="F484" t="str">
        <f>IF(E484="","",IFERROR(_xlfn.XLOOKUP(E484,Settings!$F$2:$F$36,Settings!$E$2:$E$36,""),""))</f>
        <v/>
      </c>
    </row>
    <row r="485" spans="1:6" x14ac:dyDescent="0.25">
      <c r="A485" s="40"/>
      <c r="B485" s="41"/>
      <c r="F485" t="str">
        <f>IF(E485="","",IFERROR(_xlfn.XLOOKUP(E485,Settings!$F$2:$F$36,Settings!$E$2:$E$36,""),""))</f>
        <v/>
      </c>
    </row>
    <row r="486" spans="1:6" x14ac:dyDescent="0.25">
      <c r="A486" s="40"/>
      <c r="B486" s="41"/>
      <c r="F486" t="str">
        <f>IF(E486="","",IFERROR(_xlfn.XLOOKUP(E486,Settings!$F$2:$F$36,Settings!$E$2:$E$36,""),""))</f>
        <v/>
      </c>
    </row>
    <row r="487" spans="1:6" x14ac:dyDescent="0.25">
      <c r="A487" s="40"/>
      <c r="B487" s="41"/>
      <c r="F487" t="str">
        <f>IF(E487="","",IFERROR(_xlfn.XLOOKUP(E487,Settings!$F$2:$F$36,Settings!$E$2:$E$36,""),""))</f>
        <v/>
      </c>
    </row>
    <row r="488" spans="1:6" x14ac:dyDescent="0.25">
      <c r="A488" s="40"/>
      <c r="B488" s="41"/>
      <c r="F488" t="str">
        <f>IF(E488="","",IFERROR(_xlfn.XLOOKUP(E488,Settings!$F$2:$F$36,Settings!$E$2:$E$36,""),""))</f>
        <v/>
      </c>
    </row>
    <row r="489" spans="1:6" x14ac:dyDescent="0.25">
      <c r="A489" s="40"/>
      <c r="B489" s="41"/>
      <c r="F489" t="str">
        <f>IF(E489="","",IFERROR(_xlfn.XLOOKUP(E489,Settings!$F$2:$F$36,Settings!$E$2:$E$36,""),""))</f>
        <v/>
      </c>
    </row>
    <row r="490" spans="1:6" x14ac:dyDescent="0.25">
      <c r="A490" s="40"/>
      <c r="B490" s="41"/>
      <c r="F490" t="str">
        <f>IF(E490="","",IFERROR(_xlfn.XLOOKUP(E490,Settings!$F$2:$F$36,Settings!$E$2:$E$36,""),""))</f>
        <v/>
      </c>
    </row>
    <row r="491" spans="1:6" x14ac:dyDescent="0.25">
      <c r="A491" s="40"/>
      <c r="B491" s="41"/>
      <c r="F491" t="str">
        <f>IF(E491="","",IFERROR(_xlfn.XLOOKUP(E491,Settings!$F$2:$F$36,Settings!$E$2:$E$36,""),""))</f>
        <v/>
      </c>
    </row>
    <row r="492" spans="1:6" x14ac:dyDescent="0.25">
      <c r="A492" s="40"/>
      <c r="B492" s="41"/>
      <c r="F492" t="str">
        <f>IF(E492="","",IFERROR(_xlfn.XLOOKUP(E492,Settings!$F$2:$F$36,Settings!$E$2:$E$36,""),""))</f>
        <v/>
      </c>
    </row>
    <row r="493" spans="1:6" x14ac:dyDescent="0.25">
      <c r="A493" s="40"/>
      <c r="B493" s="41"/>
      <c r="F493" t="str">
        <f>IF(E493="","",IFERROR(_xlfn.XLOOKUP(E493,Settings!$F$2:$F$36,Settings!$E$2:$E$36,""),""))</f>
        <v/>
      </c>
    </row>
    <row r="494" spans="1:6" x14ac:dyDescent="0.25">
      <c r="A494" s="40"/>
      <c r="B494" s="41"/>
      <c r="F494" t="str">
        <f>IF(E494="","",IFERROR(_xlfn.XLOOKUP(E494,Settings!$F$2:$F$36,Settings!$E$2:$E$36,""),""))</f>
        <v/>
      </c>
    </row>
    <row r="495" spans="1:6" x14ac:dyDescent="0.25">
      <c r="A495" s="40"/>
      <c r="B495" s="41"/>
      <c r="F495" t="str">
        <f>IF(E495="","",IFERROR(_xlfn.XLOOKUP(E495,Settings!$F$2:$F$36,Settings!$E$2:$E$36,""),""))</f>
        <v/>
      </c>
    </row>
    <row r="496" spans="1:6" x14ac:dyDescent="0.25">
      <c r="A496" s="40"/>
      <c r="B496" s="41"/>
      <c r="F496" t="str">
        <f>IF(E496="","",IFERROR(_xlfn.XLOOKUP(E496,Settings!$F$2:$F$36,Settings!$E$2:$E$36,""),""))</f>
        <v/>
      </c>
    </row>
    <row r="497" spans="1:6" x14ac:dyDescent="0.25">
      <c r="A497" s="40"/>
      <c r="B497" s="41"/>
      <c r="F497" t="str">
        <f>IF(E497="","",IFERROR(_xlfn.XLOOKUP(E497,Settings!$F$2:$F$36,Settings!$E$2:$E$36,""),""))</f>
        <v/>
      </c>
    </row>
    <row r="498" spans="1:6" x14ac:dyDescent="0.25">
      <c r="A498" s="40"/>
      <c r="B498" s="41"/>
      <c r="F498" t="str">
        <f>IF(E498="","",IFERROR(_xlfn.XLOOKUP(E498,Settings!$F$2:$F$36,Settings!$E$2:$E$36,""),""))</f>
        <v/>
      </c>
    </row>
    <row r="499" spans="1:6" x14ac:dyDescent="0.25">
      <c r="A499" s="40"/>
      <c r="B499" s="41"/>
      <c r="F499" t="str">
        <f>IF(E499="","",IFERROR(_xlfn.XLOOKUP(E499,Settings!$F$2:$F$36,Settings!$E$2:$E$36,""),""))</f>
        <v/>
      </c>
    </row>
    <row r="500" spans="1:6" x14ac:dyDescent="0.25">
      <c r="A500" s="40"/>
      <c r="B500" s="41"/>
      <c r="F500" t="str">
        <f>IF(E500="","",IFERROR(_xlfn.XLOOKUP(E500,Settings!$F$2:$F$36,Settings!$E$2:$E$36,""),""))</f>
        <v/>
      </c>
    </row>
    <row r="501" spans="1:6" x14ac:dyDescent="0.25">
      <c r="A501" s="40"/>
      <c r="B501" s="41"/>
      <c r="F501" t="str">
        <f>IF(E501="","",IFERROR(_xlfn.XLOOKUP(E501,Settings!$F$2:$F$38,Settings!$E$2:$E$38,""),""))</f>
        <v/>
      </c>
    </row>
    <row r="502" spans="1:6" x14ac:dyDescent="0.25">
      <c r="F502" t="str">
        <f>IF(E502="","",IFERROR(_xlfn.XLOOKUP(E502,Settings!$F$2:$F$38,Settings!$E$2:$E$38,""),""))</f>
        <v/>
      </c>
    </row>
    <row r="503" spans="1:6" x14ac:dyDescent="0.25">
      <c r="F503" t="str">
        <f>IF(E503="","",IFERROR(_xlfn.XLOOKUP(E503,Settings!$F$2:$F$38,Settings!$E$2:$E$38,""),""))</f>
        <v/>
      </c>
    </row>
    <row r="504" spans="1:6" x14ac:dyDescent="0.25">
      <c r="F504" t="str">
        <f>IF(E504="","",IFERROR(_xlfn.XLOOKUP(E504,Settings!$F$2:$F$38,Settings!$E$2:$E$38,""),""))</f>
        <v/>
      </c>
    </row>
    <row r="505" spans="1:6" x14ac:dyDescent="0.25">
      <c r="F505" t="str">
        <f>IF(E505="","",IFERROR(_xlfn.XLOOKUP(E505,Settings!$F$2:$F$38,Settings!$E$2:$E$38,""),""))</f>
        <v/>
      </c>
    </row>
    <row r="506" spans="1:6" x14ac:dyDescent="0.25">
      <c r="F506" t="str">
        <f>IF(E506="","",IFERROR(_xlfn.XLOOKUP(E506,Settings!$F$2:$F$38,Settings!$E$2:$E$38,""),""))</f>
        <v/>
      </c>
    </row>
    <row r="507" spans="1:6" x14ac:dyDescent="0.25">
      <c r="F507" t="str">
        <f>IF(E507="","",IFERROR(_xlfn.XLOOKUP(E507,Settings!$F$2:$F$38,Settings!$E$2:$E$38,""),""))</f>
        <v/>
      </c>
    </row>
    <row r="508" spans="1:6" x14ac:dyDescent="0.25">
      <c r="F508" t="str">
        <f>IF(E508="","",IFERROR(_xlfn.XLOOKUP(E508,Settings!$F$2:$F$38,Settings!$E$2:$E$38,""),""))</f>
        <v/>
      </c>
    </row>
    <row r="509" spans="1:6" x14ac:dyDescent="0.25">
      <c r="F509" t="str">
        <f>IF(E509="","",IFERROR(_xlfn.XLOOKUP(E509,Settings!$F$2:$F$38,Settings!$E$2:$E$38,""),""))</f>
        <v/>
      </c>
    </row>
    <row r="510" spans="1:6" x14ac:dyDescent="0.25">
      <c r="F510" t="str">
        <f>IF(E510="","",IFERROR(_xlfn.XLOOKUP(E510,Settings!$F$2:$F$38,Settings!$E$2:$E$38,""),""))</f>
        <v/>
      </c>
    </row>
    <row r="511" spans="1:6" x14ac:dyDescent="0.25">
      <c r="F511" t="str">
        <f>IF(E511="","",IFERROR(_xlfn.XLOOKUP(E511,Settings!$F$2:$F$38,Settings!$E$2:$E$38,""),""))</f>
        <v/>
      </c>
    </row>
    <row r="512" spans="1:6" x14ac:dyDescent="0.25">
      <c r="F512" t="str">
        <f>IF(E512="","",IFERROR(_xlfn.XLOOKUP(E512,Settings!$F$2:$F$38,Settings!$E$2:$E$38,""),""))</f>
        <v/>
      </c>
    </row>
    <row r="513" spans="6:6" x14ac:dyDescent="0.25">
      <c r="F513" t="str">
        <f>IF(E513="","",IFERROR(_xlfn.XLOOKUP(E513,Settings!$F$2:$F$38,Settings!$E$2:$E$38,""),""))</f>
        <v/>
      </c>
    </row>
    <row r="514" spans="6:6" x14ac:dyDescent="0.25">
      <c r="F514" t="str">
        <f>IF(E514="","",IFERROR(_xlfn.XLOOKUP(E514,Settings!$F$2:$F$38,Settings!$E$2:$E$38,""),""))</f>
        <v/>
      </c>
    </row>
    <row r="515" spans="6:6" x14ac:dyDescent="0.25">
      <c r="F515" t="str">
        <f>IF(E515="","",IFERROR(_xlfn.XLOOKUP(E515,Settings!$F$2:$F$38,Settings!$E$2:$E$38,""),""))</f>
        <v/>
      </c>
    </row>
    <row r="516" spans="6:6" x14ac:dyDescent="0.25">
      <c r="F516" t="str">
        <f>IF(E516="","",IFERROR(_xlfn.XLOOKUP(E516,Settings!$F$2:$F$38,Settings!$E$2:$E$38,""),""))</f>
        <v/>
      </c>
    </row>
    <row r="517" spans="6:6" x14ac:dyDescent="0.25">
      <c r="F517" t="str">
        <f>IF(E517="","",IFERROR(_xlfn.XLOOKUP(E517,Settings!$F$2:$F$38,Settings!$E$2:$E$38,""),""))</f>
        <v/>
      </c>
    </row>
    <row r="518" spans="6:6" x14ac:dyDescent="0.25">
      <c r="F518" t="str">
        <f>IF(E518="","",IFERROR(_xlfn.XLOOKUP(E518,Settings!$F$2:$F$38,Settings!$E$2:$E$38,""),""))</f>
        <v/>
      </c>
    </row>
    <row r="519" spans="6:6" x14ac:dyDescent="0.25">
      <c r="F519" t="str">
        <f>IF(E519="","",IFERROR(_xlfn.XLOOKUP(E519,Settings!$F$2:$F$38,Settings!$E$2:$E$38,""),""))</f>
        <v/>
      </c>
    </row>
    <row r="520" spans="6:6" x14ac:dyDescent="0.25">
      <c r="F520" t="str">
        <f>IF(E520="","",IFERROR(_xlfn.XLOOKUP(E520,Settings!$F$2:$F$38,Settings!$E$2:$E$38,""),""))</f>
        <v/>
      </c>
    </row>
    <row r="521" spans="6:6" x14ac:dyDescent="0.25">
      <c r="F521" t="str">
        <f>IF(E521="","",IFERROR(_xlfn.XLOOKUP(E521,Settings!$F$2:$F$38,Settings!$E$2:$E$38,""),""))</f>
        <v/>
      </c>
    </row>
    <row r="522" spans="6:6" x14ac:dyDescent="0.25">
      <c r="F522" t="str">
        <f>IF(E522="","",IFERROR(_xlfn.XLOOKUP(E522,Settings!$F$2:$F$38,Settings!$E$2:$E$38,""),""))</f>
        <v/>
      </c>
    </row>
    <row r="523" spans="6:6" x14ac:dyDescent="0.25">
      <c r="F523" t="str">
        <f>IF(E523="","",IFERROR(_xlfn.XLOOKUP(E523,Settings!$F$2:$F$38,Settings!$E$2:$E$38,""),""))</f>
        <v/>
      </c>
    </row>
    <row r="524" spans="6:6" x14ac:dyDescent="0.25">
      <c r="F524" t="str">
        <f>IF(E524="","",IFERROR(_xlfn.XLOOKUP(E524,Settings!$F$2:$F$38,Settings!$E$2:$E$38,""),""))</f>
        <v/>
      </c>
    </row>
    <row r="525" spans="6:6" x14ac:dyDescent="0.25">
      <c r="F525" t="str">
        <f>IF(E525="","",IFERROR(_xlfn.XLOOKUP(E525,Settings!$F$2:$F$38,Settings!$E$2:$E$38,""),""))</f>
        <v/>
      </c>
    </row>
    <row r="526" spans="6:6" x14ac:dyDescent="0.25">
      <c r="F526" t="str">
        <f>IF(E526="","",IFERROR(_xlfn.XLOOKUP(E526,Settings!$F$2:$F$38,Settings!$E$2:$E$38,""),""))</f>
        <v/>
      </c>
    </row>
    <row r="527" spans="6:6" x14ac:dyDescent="0.25">
      <c r="F527" t="str">
        <f>IF(E527="","",IFERROR(_xlfn.XLOOKUP(E527,Settings!$F$2:$F$38,Settings!$E$2:$E$38,""),""))</f>
        <v/>
      </c>
    </row>
    <row r="528" spans="6:6" x14ac:dyDescent="0.25">
      <c r="F528" t="str">
        <f>IF(E528="","",IFERROR(_xlfn.XLOOKUP(E528,Settings!$F$2:$F$38,Settings!$E$2:$E$38,""),""))</f>
        <v/>
      </c>
    </row>
    <row r="529" spans="6:6" x14ac:dyDescent="0.25">
      <c r="F529" t="str">
        <f>IF(E529="","",IFERROR(_xlfn.XLOOKUP(E529,Settings!$F$2:$F$38,Settings!$E$2:$E$38,""),""))</f>
        <v/>
      </c>
    </row>
    <row r="530" spans="6:6" x14ac:dyDescent="0.25">
      <c r="F530" t="str">
        <f>IF(E530="","",IFERROR(_xlfn.XLOOKUP(E530,Settings!$F$2:$F$38,Settings!$E$2:$E$38,""),""))</f>
        <v/>
      </c>
    </row>
    <row r="531" spans="6:6" x14ac:dyDescent="0.25">
      <c r="F531" t="str">
        <f>IF(E531="","",IFERROR(_xlfn.XLOOKUP(E531,Settings!$F$2:$F$38,Settings!$E$2:$E$38,""),""))</f>
        <v/>
      </c>
    </row>
    <row r="532" spans="6:6" x14ac:dyDescent="0.25">
      <c r="F532" t="str">
        <f>IF(E532="","",IFERROR(_xlfn.XLOOKUP(E532,Settings!$F$2:$F$38,Settings!$E$2:$E$38,""),""))</f>
        <v/>
      </c>
    </row>
    <row r="533" spans="6:6" x14ac:dyDescent="0.25">
      <c r="F533" t="str">
        <f>IF(E533="","",IFERROR(_xlfn.XLOOKUP(E533,Settings!$F$2:$F$38,Settings!$E$2:$E$38,""),""))</f>
        <v/>
      </c>
    </row>
    <row r="534" spans="6:6" x14ac:dyDescent="0.25">
      <c r="F534" t="str">
        <f>IF(E534="","",IFERROR(_xlfn.XLOOKUP(E534,Settings!$F$2:$F$38,Settings!$E$2:$E$38,""),""))</f>
        <v/>
      </c>
    </row>
    <row r="535" spans="6:6" x14ac:dyDescent="0.25">
      <c r="F535" t="str">
        <f>IF(E535="","",IFERROR(_xlfn.XLOOKUP(E535,Settings!$F$2:$F$38,Settings!$E$2:$E$38,""),""))</f>
        <v/>
      </c>
    </row>
    <row r="536" spans="6:6" x14ac:dyDescent="0.25">
      <c r="F536" t="str">
        <f>IF(E536="","",IFERROR(_xlfn.XLOOKUP(E536,Settings!$F$2:$F$38,Settings!$E$2:$E$38,""),""))</f>
        <v/>
      </c>
    </row>
    <row r="537" spans="6:6" x14ac:dyDescent="0.25">
      <c r="F537" t="str">
        <f>IF(E537="","",IFERROR(_xlfn.XLOOKUP(E537,Settings!$F$2:$F$38,Settings!$E$2:$E$38,""),""))</f>
        <v/>
      </c>
    </row>
    <row r="538" spans="6:6" x14ac:dyDescent="0.25">
      <c r="F538" t="str">
        <f>IF(E538="","",IFERROR(_xlfn.XLOOKUP(E538,Settings!$F$2:$F$38,Settings!$E$2:$E$38,""),""))</f>
        <v/>
      </c>
    </row>
    <row r="539" spans="6:6" x14ac:dyDescent="0.25">
      <c r="F539" t="str">
        <f>IF(E539="","",IFERROR(_xlfn.XLOOKUP(E539,Settings!$F$2:$F$38,Settings!$E$2:$E$38,""),""))</f>
        <v/>
      </c>
    </row>
    <row r="540" spans="6:6" x14ac:dyDescent="0.25">
      <c r="F540" t="str">
        <f>IF(E540="","",IFERROR(_xlfn.XLOOKUP(E540,Settings!$F$2:$F$38,Settings!$E$2:$E$38,""),""))</f>
        <v/>
      </c>
    </row>
    <row r="541" spans="6:6" x14ac:dyDescent="0.25">
      <c r="F541" t="str">
        <f>IF(E541="","",IFERROR(_xlfn.XLOOKUP(E541,Settings!$F$2:$F$38,Settings!$E$2:$E$38,""),""))</f>
        <v/>
      </c>
    </row>
    <row r="542" spans="6:6" x14ac:dyDescent="0.25">
      <c r="F542" t="str">
        <f>IF(E542="","",IFERROR(_xlfn.XLOOKUP(E542,Settings!$F$2:$F$38,Settings!$E$2:$E$38,""),""))</f>
        <v/>
      </c>
    </row>
    <row r="543" spans="6:6" x14ac:dyDescent="0.25">
      <c r="F543" t="str">
        <f>IF(E543="","",IFERROR(_xlfn.XLOOKUP(E543,Settings!$F$2:$F$38,Settings!$E$2:$E$38,""),""))</f>
        <v/>
      </c>
    </row>
    <row r="544" spans="6:6" x14ac:dyDescent="0.25">
      <c r="F544" t="str">
        <f>IF(E544="","",IFERROR(_xlfn.XLOOKUP(E544,Settings!$F$2:$F$38,Settings!$E$2:$E$38,""),""))</f>
        <v/>
      </c>
    </row>
    <row r="545" spans="6:6" x14ac:dyDescent="0.25">
      <c r="F545" t="str">
        <f>IF(E545="","",IFERROR(_xlfn.XLOOKUP(E545,Settings!$F$2:$F$38,Settings!$E$2:$E$38,""),""))</f>
        <v/>
      </c>
    </row>
    <row r="546" spans="6:6" x14ac:dyDescent="0.25">
      <c r="F546" t="str">
        <f>IF(E546="","",IFERROR(_xlfn.XLOOKUP(E546,Settings!$F$2:$F$38,Settings!$E$2:$E$38,""),""))</f>
        <v/>
      </c>
    </row>
    <row r="547" spans="6:6" x14ac:dyDescent="0.25">
      <c r="F547" t="str">
        <f>IF(E547="","",IFERROR(_xlfn.XLOOKUP(E547,Settings!$F$2:$F$38,Settings!$E$2:$E$38,""),""))</f>
        <v/>
      </c>
    </row>
    <row r="548" spans="6:6" x14ac:dyDescent="0.25">
      <c r="F548" t="str">
        <f>IF(E548="","",IFERROR(_xlfn.XLOOKUP(E548,Settings!$F$2:$F$38,Settings!$E$2:$E$38,""),""))</f>
        <v/>
      </c>
    </row>
    <row r="549" spans="6:6" x14ac:dyDescent="0.25">
      <c r="F549" t="str">
        <f>IF(E549="","",IFERROR(_xlfn.XLOOKUP(E549,Settings!$F$2:$F$38,Settings!$E$2:$E$38,""),""))</f>
        <v/>
      </c>
    </row>
    <row r="550" spans="6:6" x14ac:dyDescent="0.25">
      <c r="F550" t="str">
        <f>IF(E550="","",IFERROR(_xlfn.XLOOKUP(E550,Settings!$F$2:$F$38,Settings!$E$2:$E$38,""),""))</f>
        <v/>
      </c>
    </row>
    <row r="551" spans="6:6" x14ac:dyDescent="0.25">
      <c r="F551" t="str">
        <f>IF(E551="","",IFERROR(_xlfn.XLOOKUP(E551,Settings!$F$2:$F$38,Settings!$E$2:$E$38,""),""))</f>
        <v/>
      </c>
    </row>
    <row r="552" spans="6:6" x14ac:dyDescent="0.25">
      <c r="F552" t="str">
        <f>IF(E552="","",IFERROR(_xlfn.XLOOKUP(E552,Settings!$F$2:$F$38,Settings!$E$2:$E$38,""),""))</f>
        <v/>
      </c>
    </row>
    <row r="553" spans="6:6" x14ac:dyDescent="0.25">
      <c r="F553" t="str">
        <f>IF(E553="","",IFERROR(_xlfn.XLOOKUP(E553,Settings!$F$2:$F$38,Settings!$E$2:$E$38,""),""))</f>
        <v/>
      </c>
    </row>
    <row r="554" spans="6:6" x14ac:dyDescent="0.25">
      <c r="F554" t="str">
        <f>IF(E554="","",IFERROR(_xlfn.XLOOKUP(E554,Settings!$F$2:$F$38,Settings!$E$2:$E$38,""),""))</f>
        <v/>
      </c>
    </row>
    <row r="555" spans="6:6" x14ac:dyDescent="0.25">
      <c r="F555" t="str">
        <f>IF(E555="","",IFERROR(_xlfn.XLOOKUP(E555,Settings!$F$2:$F$38,Settings!$E$2:$E$38,""),""))</f>
        <v/>
      </c>
    </row>
    <row r="556" spans="6:6" x14ac:dyDescent="0.25">
      <c r="F556" t="str">
        <f>IF(E556="","",IFERROR(_xlfn.XLOOKUP(E556,Settings!$F$2:$F$38,Settings!$E$2:$E$38,""),""))</f>
        <v/>
      </c>
    </row>
    <row r="557" spans="6:6" x14ac:dyDescent="0.25">
      <c r="F557" t="str">
        <f>IF(E557="","",IFERROR(_xlfn.XLOOKUP(E557,Settings!$F$2:$F$38,Settings!$E$2:$E$38,""),""))</f>
        <v/>
      </c>
    </row>
    <row r="558" spans="6:6" x14ac:dyDescent="0.25">
      <c r="F558" t="str">
        <f>IF(E558="","",IFERROR(_xlfn.XLOOKUP(E558,Settings!$F$2:$F$38,Settings!$E$2:$E$38,""),""))</f>
        <v/>
      </c>
    </row>
    <row r="559" spans="6:6" x14ac:dyDescent="0.25">
      <c r="F559" t="str">
        <f>IF(E559="","",IFERROR(_xlfn.XLOOKUP(E559,Settings!$F$2:$F$38,Settings!$E$2:$E$38,""),""))</f>
        <v/>
      </c>
    </row>
    <row r="560" spans="6:6" x14ac:dyDescent="0.25">
      <c r="F560" t="str">
        <f>IF(E560="","",IFERROR(_xlfn.XLOOKUP(E560,Settings!$F$2:$F$38,Settings!$E$2:$E$38,""),""))</f>
        <v/>
      </c>
    </row>
    <row r="561" spans="6:6" x14ac:dyDescent="0.25">
      <c r="F561" t="str">
        <f>IF(E561="","",IFERROR(_xlfn.XLOOKUP(E561,Settings!$F$2:$F$38,Settings!$E$2:$E$38,""),""))</f>
        <v/>
      </c>
    </row>
    <row r="562" spans="6:6" x14ac:dyDescent="0.25">
      <c r="F562" t="str">
        <f>IF(E562="","",IFERROR(_xlfn.XLOOKUP(E562,Settings!$F$2:$F$38,Settings!$E$2:$E$38,""),""))</f>
        <v/>
      </c>
    </row>
    <row r="563" spans="6:6" x14ac:dyDescent="0.25">
      <c r="F563" t="str">
        <f>IF(E563="","",IFERROR(_xlfn.XLOOKUP(E563,Settings!$F$2:$F$38,Settings!$E$2:$E$38,""),""))</f>
        <v/>
      </c>
    </row>
    <row r="564" spans="6:6" x14ac:dyDescent="0.25">
      <c r="F564" t="str">
        <f>IF(E564="","",IFERROR(_xlfn.XLOOKUP(E564,Settings!$F$2:$F$38,Settings!$E$2:$E$38,""),""))</f>
        <v/>
      </c>
    </row>
    <row r="565" spans="6:6" x14ac:dyDescent="0.25">
      <c r="F565" t="str">
        <f>IF(E565="","",IFERROR(_xlfn.XLOOKUP(E565,Settings!$F$2:$F$38,Settings!$E$2:$E$38,""),""))</f>
        <v/>
      </c>
    </row>
    <row r="566" spans="6:6" x14ac:dyDescent="0.25">
      <c r="F566" t="str">
        <f>IF(E566="","",IFERROR(_xlfn.XLOOKUP(E566,Settings!$F$2:$F$38,Settings!$E$2:$E$38,""),""))</f>
        <v/>
      </c>
    </row>
    <row r="567" spans="6:6" x14ac:dyDescent="0.25">
      <c r="F567" t="str">
        <f>IF(E567="","",IFERROR(_xlfn.XLOOKUP(E567,Settings!$F$2:$F$38,Settings!$E$2:$E$38,""),""))</f>
        <v/>
      </c>
    </row>
    <row r="568" spans="6:6" x14ac:dyDescent="0.25">
      <c r="F568" t="str">
        <f>IF(E568="","",IFERROR(_xlfn.XLOOKUP(E568,Settings!$F$2:$F$38,Settings!$E$2:$E$38,""),""))</f>
        <v/>
      </c>
    </row>
    <row r="569" spans="6:6" x14ac:dyDescent="0.25">
      <c r="F569" t="str">
        <f>IF(E569="","",IFERROR(_xlfn.XLOOKUP(E569,Settings!$F$2:$F$38,Settings!$E$2:$E$38,""),""))</f>
        <v/>
      </c>
    </row>
    <row r="570" spans="6:6" x14ac:dyDescent="0.25">
      <c r="F570" t="str">
        <f>IF(E570="","",IFERROR(_xlfn.XLOOKUP(E570,Settings!$F$2:$F$38,Settings!$E$2:$E$38,""),""))</f>
        <v/>
      </c>
    </row>
    <row r="571" spans="6:6" x14ac:dyDescent="0.25">
      <c r="F571" t="str">
        <f>IF(E571="","",IFERROR(_xlfn.XLOOKUP(E571,Settings!$F$2:$F$38,Settings!$E$2:$E$38,""),""))</f>
        <v/>
      </c>
    </row>
    <row r="572" spans="6:6" x14ac:dyDescent="0.25">
      <c r="F572" t="str">
        <f>IF(E572="","",IFERROR(_xlfn.XLOOKUP(E572,Settings!$F$2:$F$38,Settings!$E$2:$E$38,""),""))</f>
        <v/>
      </c>
    </row>
    <row r="573" spans="6:6" x14ac:dyDescent="0.25">
      <c r="F573" t="str">
        <f>IF(E573="","",IFERROR(_xlfn.XLOOKUP(E573,Settings!$F$2:$F$38,Settings!$E$2:$E$38,""),""))</f>
        <v/>
      </c>
    </row>
    <row r="574" spans="6:6" x14ac:dyDescent="0.25">
      <c r="F574" t="str">
        <f>IF(E574="","",IFERROR(_xlfn.XLOOKUP(E574,Settings!$F$2:$F$38,Settings!$E$2:$E$38,""),""))</f>
        <v/>
      </c>
    </row>
    <row r="575" spans="6:6" x14ac:dyDescent="0.25">
      <c r="F575" t="str">
        <f>IF(E575="","",IFERROR(_xlfn.XLOOKUP(E575,Settings!$F$2:$F$38,Settings!$E$2:$E$38,""),""))</f>
        <v/>
      </c>
    </row>
    <row r="576" spans="6:6" x14ac:dyDescent="0.25">
      <c r="F576" t="str">
        <f>IF(E576="","",IFERROR(_xlfn.XLOOKUP(E576,Settings!$F$2:$F$38,Settings!$E$2:$E$38,""),""))</f>
        <v/>
      </c>
    </row>
    <row r="577" spans="6:6" x14ac:dyDescent="0.25">
      <c r="F577" t="str">
        <f>IF(E577="","",IFERROR(_xlfn.XLOOKUP(E577,Settings!$F$2:$F$38,Settings!$E$2:$E$38,""),""))</f>
        <v/>
      </c>
    </row>
    <row r="578" spans="6:6" x14ac:dyDescent="0.25">
      <c r="F578" t="str">
        <f>IF(E578="","",IFERROR(_xlfn.XLOOKUP(E578,Settings!$F$2:$F$38,Settings!$E$2:$E$38,""),""))</f>
        <v/>
      </c>
    </row>
    <row r="579" spans="6:6" x14ac:dyDescent="0.25">
      <c r="F579" t="str">
        <f>IF(E579="","",IFERROR(_xlfn.XLOOKUP(E579,Settings!$F$2:$F$38,Settings!$E$2:$E$38,""),""))</f>
        <v/>
      </c>
    </row>
    <row r="580" spans="6:6" x14ac:dyDescent="0.25">
      <c r="F580" t="str">
        <f>IF(E580="","",IFERROR(_xlfn.XLOOKUP(E580,Settings!$F$2:$F$38,Settings!$E$2:$E$38,""),""))</f>
        <v/>
      </c>
    </row>
    <row r="581" spans="6:6" x14ac:dyDescent="0.25">
      <c r="F581" t="str">
        <f>IF(E581="","",IFERROR(_xlfn.XLOOKUP(E581,Settings!$F$2:$F$38,Settings!$E$2:$E$38,""),""))</f>
        <v/>
      </c>
    </row>
    <row r="582" spans="6:6" x14ac:dyDescent="0.25">
      <c r="F582" t="str">
        <f>IF(E582="","",IFERROR(_xlfn.XLOOKUP(E582,Settings!$F$2:$F$38,Settings!$E$2:$E$38,""),""))</f>
        <v/>
      </c>
    </row>
    <row r="583" spans="6:6" x14ac:dyDescent="0.25">
      <c r="F583" t="str">
        <f>IF(E583="","",IFERROR(_xlfn.XLOOKUP(E583,Settings!$F$2:$F$38,Settings!$E$2:$E$38,""),""))</f>
        <v/>
      </c>
    </row>
    <row r="584" spans="6:6" x14ac:dyDescent="0.25">
      <c r="F584" t="str">
        <f>IF(E584="","",IFERROR(_xlfn.XLOOKUP(E584,Settings!$F$2:$F$38,Settings!$E$2:$E$38,""),""))</f>
        <v/>
      </c>
    </row>
    <row r="585" spans="6:6" x14ac:dyDescent="0.25">
      <c r="F585" t="str">
        <f>IF(E585="","",IFERROR(_xlfn.XLOOKUP(E585,Settings!$F$2:$F$38,Settings!$E$2:$E$38,""),""))</f>
        <v/>
      </c>
    </row>
    <row r="586" spans="6:6" x14ac:dyDescent="0.25">
      <c r="F586" t="str">
        <f>IF(E586="","",IFERROR(_xlfn.XLOOKUP(E586,Settings!$F$2:$F$38,Settings!$E$2:$E$38,""),""))</f>
        <v/>
      </c>
    </row>
    <row r="587" spans="6:6" x14ac:dyDescent="0.25">
      <c r="F587" t="str">
        <f>IF(E587="","",IFERROR(_xlfn.XLOOKUP(E587,Settings!$F$2:$F$38,Settings!$E$2:$E$38,""),""))</f>
        <v/>
      </c>
    </row>
    <row r="588" spans="6:6" x14ac:dyDescent="0.25">
      <c r="F588" t="str">
        <f>IF(E588="","",IFERROR(_xlfn.XLOOKUP(E588,Settings!$F$2:$F$38,Settings!$E$2:$E$38,""),""))</f>
        <v/>
      </c>
    </row>
    <row r="589" spans="6:6" x14ac:dyDescent="0.25">
      <c r="F589" t="str">
        <f>IF(E589="","",IFERROR(_xlfn.XLOOKUP(E589,Settings!$F$2:$F$38,Settings!$E$2:$E$38,""),""))</f>
        <v/>
      </c>
    </row>
    <row r="590" spans="6:6" x14ac:dyDescent="0.25">
      <c r="F590" t="str">
        <f>IF(E590="","",IFERROR(_xlfn.XLOOKUP(E590,Settings!$F$2:$F$38,Settings!$E$2:$E$38,""),""))</f>
        <v/>
      </c>
    </row>
    <row r="591" spans="6:6" x14ac:dyDescent="0.25">
      <c r="F591" t="str">
        <f>IF(E591="","",IFERROR(_xlfn.XLOOKUP(E591,Settings!$F$2:$F$38,Settings!$E$2:$E$38,""),""))</f>
        <v/>
      </c>
    </row>
    <row r="592" spans="6:6" x14ac:dyDescent="0.25">
      <c r="F592" t="str">
        <f>IF(E592="","",IFERROR(_xlfn.XLOOKUP(E592,Settings!$F$2:$F$38,Settings!$E$2:$E$38,""),""))</f>
        <v/>
      </c>
    </row>
    <row r="593" spans="6:6" x14ac:dyDescent="0.25">
      <c r="F593" t="str">
        <f>IF(E593="","",IFERROR(_xlfn.XLOOKUP(E593,Settings!$F$2:$F$38,Settings!$E$2:$E$38,""),""))</f>
        <v/>
      </c>
    </row>
    <row r="594" spans="6:6" x14ac:dyDescent="0.25">
      <c r="F594" t="str">
        <f>IF(E594="","",IFERROR(_xlfn.XLOOKUP(E594,Settings!$F$2:$F$38,Settings!$E$2:$E$38,""),""))</f>
        <v/>
      </c>
    </row>
    <row r="595" spans="6:6" x14ac:dyDescent="0.25">
      <c r="F595" t="str">
        <f>IF(E595="","",IFERROR(_xlfn.XLOOKUP(E595,Settings!$F$2:$F$38,Settings!$E$2:$E$38,""),""))</f>
        <v/>
      </c>
    </row>
    <row r="596" spans="6:6" x14ac:dyDescent="0.25">
      <c r="F596" t="str">
        <f>IF(E596="","",IFERROR(_xlfn.XLOOKUP(E596,Settings!$F$2:$F$38,Settings!$E$2:$E$38,""),""))</f>
        <v/>
      </c>
    </row>
    <row r="597" spans="6:6" x14ac:dyDescent="0.25">
      <c r="F597" t="str">
        <f>IF(E597="","",IFERROR(_xlfn.XLOOKUP(E597,Settings!$F$2:$F$38,Settings!$E$2:$E$38,""),""))</f>
        <v/>
      </c>
    </row>
    <row r="598" spans="6:6" x14ac:dyDescent="0.25">
      <c r="F598" t="str">
        <f>IF(E598="","",IFERROR(_xlfn.XLOOKUP(E598,Settings!$F$2:$F$38,Settings!$E$2:$E$38,""),""))</f>
        <v/>
      </c>
    </row>
    <row r="599" spans="6:6" x14ac:dyDescent="0.25">
      <c r="F599" t="str">
        <f>IF(E599="","",IFERROR(_xlfn.XLOOKUP(E599,Settings!$F$2:$F$38,Settings!$E$2:$E$38,""),""))</f>
        <v/>
      </c>
    </row>
    <row r="600" spans="6:6" x14ac:dyDescent="0.25">
      <c r="F600" t="str">
        <f>IF(E600="","",IFERROR(_xlfn.XLOOKUP(E600,Settings!$F$2:$F$38,Settings!$E$2:$E$38,""),""))</f>
        <v/>
      </c>
    </row>
    <row r="601" spans="6:6" x14ac:dyDescent="0.25">
      <c r="F601" t="str">
        <f>IF(E601="","",IFERROR(_xlfn.XLOOKUP(E601,Settings!$F$2:$F$38,Settings!$E$2:$E$38,""),""))</f>
        <v/>
      </c>
    </row>
    <row r="602" spans="6:6" x14ac:dyDescent="0.25">
      <c r="F602" t="str">
        <f>IF(E602="","",IFERROR(_xlfn.XLOOKUP(E602,Settings!$F$2:$F$38,Settings!$E$2:$E$38,""),""))</f>
        <v/>
      </c>
    </row>
    <row r="603" spans="6:6" x14ac:dyDescent="0.25">
      <c r="F603" t="str">
        <f>IF(E603="","",IFERROR(_xlfn.XLOOKUP(E603,Settings!$F$2:$F$38,Settings!$E$2:$E$38,""),""))</f>
        <v/>
      </c>
    </row>
    <row r="604" spans="6:6" x14ac:dyDescent="0.25">
      <c r="F604" t="str">
        <f>IF(E604="","",IFERROR(_xlfn.XLOOKUP(E604,Settings!$F$2:$F$38,Settings!$E$2:$E$38,""),""))</f>
        <v/>
      </c>
    </row>
    <row r="605" spans="6:6" x14ac:dyDescent="0.25">
      <c r="F605" t="str">
        <f>IF(E605="","",IFERROR(_xlfn.XLOOKUP(E605,Settings!$F$2:$F$38,Settings!$E$2:$E$38,""),""))</f>
        <v/>
      </c>
    </row>
    <row r="606" spans="6:6" x14ac:dyDescent="0.25">
      <c r="F606" t="str">
        <f>IF(E606="","",IFERROR(_xlfn.XLOOKUP(E606,Settings!$F$2:$F$38,Settings!$E$2:$E$38,""),""))</f>
        <v/>
      </c>
    </row>
    <row r="607" spans="6:6" x14ac:dyDescent="0.25">
      <c r="F607" t="str">
        <f>IF(E607="","",IFERROR(_xlfn.XLOOKUP(E607,Settings!$F$2:$F$38,Settings!$E$2:$E$38,""),""))</f>
        <v/>
      </c>
    </row>
    <row r="608" spans="6:6" x14ac:dyDescent="0.25">
      <c r="F608" t="str">
        <f>IF(E608="","",IFERROR(_xlfn.XLOOKUP(E608,Settings!$F$2:$F$38,Settings!$E$2:$E$38,""),""))</f>
        <v/>
      </c>
    </row>
    <row r="609" spans="6:6" x14ac:dyDescent="0.25">
      <c r="F609" t="str">
        <f>IF(E609="","",IFERROR(_xlfn.XLOOKUP(E609,Settings!$F$2:$F$38,Settings!$E$2:$E$38,""),""))</f>
        <v/>
      </c>
    </row>
    <row r="610" spans="6:6" x14ac:dyDescent="0.25">
      <c r="F610" t="str">
        <f>IF(E610="","",IFERROR(_xlfn.XLOOKUP(E610,Settings!$F$2:$F$38,Settings!$E$2:$E$38,""),""))</f>
        <v/>
      </c>
    </row>
    <row r="611" spans="6:6" x14ac:dyDescent="0.25">
      <c r="F611" t="str">
        <f>IF(E611="","",IFERROR(_xlfn.XLOOKUP(E611,Settings!$F$2:$F$38,Settings!$E$2:$E$38,""),""))</f>
        <v/>
      </c>
    </row>
    <row r="612" spans="6:6" x14ac:dyDescent="0.25">
      <c r="F612" t="str">
        <f>IF(E612="","",IFERROR(_xlfn.XLOOKUP(E612,Settings!$F$2:$F$38,Settings!$E$2:$E$38,""),""))</f>
        <v/>
      </c>
    </row>
    <row r="613" spans="6:6" x14ac:dyDescent="0.25">
      <c r="F613" t="str">
        <f>IF(E613="","",IFERROR(_xlfn.XLOOKUP(E613,Settings!$F$2:$F$38,Settings!$E$2:$E$38,""),""))</f>
        <v/>
      </c>
    </row>
    <row r="614" spans="6:6" x14ac:dyDescent="0.25">
      <c r="F614" t="str">
        <f>IF(E614="","",IFERROR(_xlfn.XLOOKUP(E614,Settings!$F$2:$F$38,Settings!$E$2:$E$38,""),""))</f>
        <v/>
      </c>
    </row>
    <row r="615" spans="6:6" x14ac:dyDescent="0.25">
      <c r="F615" t="str">
        <f>IF(E615="","",IFERROR(_xlfn.XLOOKUP(E615,Settings!$F$2:$F$38,Settings!$E$2:$E$38,""),""))</f>
        <v/>
      </c>
    </row>
    <row r="616" spans="6:6" x14ac:dyDescent="0.25">
      <c r="F616" t="str">
        <f>IF(E616="","",IFERROR(_xlfn.XLOOKUP(E616,Settings!$F$2:$F$38,Settings!$E$2:$E$38,""),""))</f>
        <v/>
      </c>
    </row>
    <row r="617" spans="6:6" x14ac:dyDescent="0.25">
      <c r="F617" t="str">
        <f>IF(E617="","",IFERROR(_xlfn.XLOOKUP(E617,Settings!$F$2:$F$38,Settings!$E$2:$E$38,""),""))</f>
        <v/>
      </c>
    </row>
    <row r="618" spans="6:6" x14ac:dyDescent="0.25">
      <c r="F618" t="str">
        <f>IF(E618="","",IFERROR(_xlfn.XLOOKUP(E618,Settings!$F$2:$F$38,Settings!$E$2:$E$38,""),""))</f>
        <v/>
      </c>
    </row>
    <row r="619" spans="6:6" x14ac:dyDescent="0.25">
      <c r="F619" t="str">
        <f>IF(E619="","",IFERROR(_xlfn.XLOOKUP(E619,Settings!$F$2:$F$38,Settings!$E$2:$E$38,""),""))</f>
        <v/>
      </c>
    </row>
    <row r="620" spans="6:6" x14ac:dyDescent="0.25">
      <c r="F620" t="str">
        <f>IF(E620="","",IFERROR(_xlfn.XLOOKUP(E620,Settings!$F$2:$F$38,Settings!$E$2:$E$38,""),""))</f>
        <v/>
      </c>
    </row>
    <row r="621" spans="6:6" x14ac:dyDescent="0.25">
      <c r="F621" t="str">
        <f>IF(E621="","",IFERROR(_xlfn.XLOOKUP(E621,Settings!$F$2:$F$38,Settings!$E$2:$E$38,""),""))</f>
        <v/>
      </c>
    </row>
    <row r="622" spans="6:6" x14ac:dyDescent="0.25">
      <c r="F622" t="str">
        <f>IF(E622="","",IFERROR(_xlfn.XLOOKUP(E622,Settings!$F$2:$F$38,Settings!$E$2:$E$38,""),""))</f>
        <v/>
      </c>
    </row>
    <row r="623" spans="6:6" x14ac:dyDescent="0.25">
      <c r="F623" t="str">
        <f>IF(E623="","",IFERROR(_xlfn.XLOOKUP(E623,Settings!$F$2:$F$38,Settings!$E$2:$E$38,""),""))</f>
        <v/>
      </c>
    </row>
    <row r="624" spans="6:6" x14ac:dyDescent="0.25">
      <c r="F624" t="str">
        <f>IF(E624="","",IFERROR(_xlfn.XLOOKUP(E624,Settings!$F$2:$F$38,Settings!$E$2:$E$38,""),""))</f>
        <v/>
      </c>
    </row>
    <row r="625" spans="6:6" x14ac:dyDescent="0.25">
      <c r="F625" t="str">
        <f>IF(E625="","",IFERROR(_xlfn.XLOOKUP(E625,Settings!$F$2:$F$38,Settings!$E$2:$E$38,""),""))</f>
        <v/>
      </c>
    </row>
    <row r="626" spans="6:6" x14ac:dyDescent="0.25">
      <c r="F626" t="str">
        <f>IF(E626="","",IFERROR(_xlfn.XLOOKUP(E626,Settings!$F$2:$F$38,Settings!$E$2:$E$38,""),""))</f>
        <v/>
      </c>
    </row>
    <row r="627" spans="6:6" x14ac:dyDescent="0.25">
      <c r="F627" t="str">
        <f>IF(E627="","",IFERROR(_xlfn.XLOOKUP(E627,Settings!$F$2:$F$38,Settings!$E$2:$E$38,""),""))</f>
        <v/>
      </c>
    </row>
    <row r="628" spans="6:6" x14ac:dyDescent="0.25">
      <c r="F628" t="str">
        <f>IF(E628="","",IFERROR(_xlfn.XLOOKUP(E628,Settings!$F$2:$F$38,Settings!$E$2:$E$38,""),""))</f>
        <v/>
      </c>
    </row>
    <row r="629" spans="6:6" x14ac:dyDescent="0.25">
      <c r="F629" t="str">
        <f>IF(E629="","",IFERROR(_xlfn.XLOOKUP(E629,Settings!$F$2:$F$38,Settings!$E$2:$E$38,""),""))</f>
        <v/>
      </c>
    </row>
    <row r="630" spans="6:6" x14ac:dyDescent="0.25">
      <c r="F630" t="str">
        <f>IF(E630="","",IFERROR(_xlfn.XLOOKUP(E630,Settings!$F$2:$F$38,Settings!$E$2:$E$38,""),""))</f>
        <v/>
      </c>
    </row>
    <row r="631" spans="6:6" x14ac:dyDescent="0.25">
      <c r="F631" t="str">
        <f>IF(E631="","",IFERROR(_xlfn.XLOOKUP(E631,Settings!$F$2:$F$38,Settings!$E$2:$E$38,""),""))</f>
        <v/>
      </c>
    </row>
    <row r="632" spans="6:6" x14ac:dyDescent="0.25">
      <c r="F632" t="str">
        <f>IF(E632="","",IFERROR(_xlfn.XLOOKUP(E632,Settings!$F$2:$F$38,Settings!$E$2:$E$38,""),""))</f>
        <v/>
      </c>
    </row>
    <row r="633" spans="6:6" x14ac:dyDescent="0.25">
      <c r="F633" t="str">
        <f>IF(E633="","",IFERROR(_xlfn.XLOOKUP(E633,Settings!$F$2:$F$38,Settings!$E$2:$E$38,""),""))</f>
        <v/>
      </c>
    </row>
    <row r="634" spans="6:6" x14ac:dyDescent="0.25">
      <c r="F634" t="str">
        <f>IF(E634="","",IFERROR(_xlfn.XLOOKUP(E634,Settings!$F$2:$F$38,Settings!$E$2:$E$38,""),""))</f>
        <v/>
      </c>
    </row>
    <row r="635" spans="6:6" x14ac:dyDescent="0.25">
      <c r="F635" t="str">
        <f>IF(E635="","",IFERROR(_xlfn.XLOOKUP(E635,Settings!$F$2:$F$38,Settings!$E$2:$E$38,""),""))</f>
        <v/>
      </c>
    </row>
    <row r="636" spans="6:6" x14ac:dyDescent="0.25">
      <c r="F636" t="str">
        <f>IF(E636="","",IFERROR(_xlfn.XLOOKUP(E636,Settings!$F$2:$F$38,Settings!$E$2:$E$38,""),""))</f>
        <v/>
      </c>
    </row>
    <row r="637" spans="6:6" x14ac:dyDescent="0.25">
      <c r="F637" t="str">
        <f>IF(E637="","",IFERROR(_xlfn.XLOOKUP(E637,Settings!$F$2:$F$38,Settings!$E$2:$E$38,""),""))</f>
        <v/>
      </c>
    </row>
    <row r="638" spans="6:6" x14ac:dyDescent="0.25">
      <c r="F638" t="str">
        <f>IF(E638="","",IFERROR(_xlfn.XLOOKUP(E638,Settings!$F$2:$F$38,Settings!$E$2:$E$38,""),""))</f>
        <v/>
      </c>
    </row>
    <row r="639" spans="6:6" x14ac:dyDescent="0.25">
      <c r="F639" t="str">
        <f>IF(E639="","",IFERROR(_xlfn.XLOOKUP(E639,Settings!$F$2:$F$38,Settings!$E$2:$E$38,""),""))</f>
        <v/>
      </c>
    </row>
    <row r="640" spans="6:6" x14ac:dyDescent="0.25">
      <c r="F640" t="str">
        <f>IF(E640="","",IFERROR(_xlfn.XLOOKUP(E640,Settings!$F$2:$F$38,Settings!$E$2:$E$38,""),""))</f>
        <v/>
      </c>
    </row>
    <row r="641" spans="6:6" x14ac:dyDescent="0.25">
      <c r="F641" t="str">
        <f>IF(E641="","",IFERROR(_xlfn.XLOOKUP(E641,Settings!$F$2:$F$38,Settings!$E$2:$E$38,""),""))</f>
        <v/>
      </c>
    </row>
    <row r="642" spans="6:6" x14ac:dyDescent="0.25">
      <c r="F642" t="str">
        <f>IF(E642="","",IFERROR(_xlfn.XLOOKUP(E642,Settings!$F$2:$F$38,Settings!$E$2:$E$38,""),""))</f>
        <v/>
      </c>
    </row>
    <row r="643" spans="6:6" x14ac:dyDescent="0.25">
      <c r="F643" t="str">
        <f>IF(E643="","",IFERROR(_xlfn.XLOOKUP(E643,Settings!$F$2:$F$38,Settings!$E$2:$E$38,""),""))</f>
        <v/>
      </c>
    </row>
    <row r="644" spans="6:6" x14ac:dyDescent="0.25">
      <c r="F644" t="str">
        <f>IF(E644="","",IFERROR(_xlfn.XLOOKUP(E644,Settings!$F$2:$F$38,Settings!$E$2:$E$38,""),""))</f>
        <v/>
      </c>
    </row>
    <row r="645" spans="6:6" x14ac:dyDescent="0.25">
      <c r="F645" t="str">
        <f>IF(E645="","",IFERROR(_xlfn.XLOOKUP(E645,Settings!$F$2:$F$38,Settings!$E$2:$E$38,""),""))</f>
        <v/>
      </c>
    </row>
    <row r="646" spans="6:6" x14ac:dyDescent="0.25">
      <c r="F646" t="str">
        <f>IF(E646="","",IFERROR(_xlfn.XLOOKUP(E646,Settings!$F$2:$F$38,Settings!$E$2:$E$38,""),""))</f>
        <v/>
      </c>
    </row>
    <row r="647" spans="6:6" x14ac:dyDescent="0.25">
      <c r="F647" t="str">
        <f>IF(E647="","",IFERROR(_xlfn.XLOOKUP(E647,Settings!$F$2:$F$38,Settings!$E$2:$E$38,""),""))</f>
        <v/>
      </c>
    </row>
    <row r="648" spans="6:6" x14ac:dyDescent="0.25">
      <c r="F648" t="str">
        <f>IF(E648="","",IFERROR(_xlfn.XLOOKUP(E648,Settings!$F$2:$F$38,Settings!$E$2:$E$38,""),""))</f>
        <v/>
      </c>
    </row>
    <row r="649" spans="6:6" x14ac:dyDescent="0.25">
      <c r="F649" t="str">
        <f>IF(E649="","",IFERROR(_xlfn.XLOOKUP(E649,Settings!$F$2:$F$38,Settings!$E$2:$E$38,""),""))</f>
        <v/>
      </c>
    </row>
    <row r="650" spans="6:6" x14ac:dyDescent="0.25">
      <c r="F650" t="str">
        <f>IF(E650="","",IFERROR(_xlfn.XLOOKUP(E650,Settings!$F$2:$F$38,Settings!$E$2:$E$38,""),""))</f>
        <v/>
      </c>
    </row>
    <row r="651" spans="6:6" x14ac:dyDescent="0.25">
      <c r="F651" t="str">
        <f>IF(E651="","",IFERROR(_xlfn.XLOOKUP(E651,Settings!$F$2:$F$38,Settings!$E$2:$E$38,""),""))</f>
        <v/>
      </c>
    </row>
    <row r="652" spans="6:6" x14ac:dyDescent="0.25">
      <c r="F652" t="str">
        <f>IF(E652="","",IFERROR(_xlfn.XLOOKUP(E652,Settings!$F$2:$F$38,Settings!$E$2:$E$38,""),""))</f>
        <v/>
      </c>
    </row>
    <row r="653" spans="6:6" x14ac:dyDescent="0.25">
      <c r="F653" t="str">
        <f>IF(E653="","",IFERROR(_xlfn.XLOOKUP(E653,Settings!$F$2:$F$38,Settings!$E$2:$E$38,""),""))</f>
        <v/>
      </c>
    </row>
    <row r="654" spans="6:6" x14ac:dyDescent="0.25">
      <c r="F654" t="str">
        <f>IF(E654="","",IFERROR(_xlfn.XLOOKUP(E654,Settings!$F$2:$F$38,Settings!$E$2:$E$38,""),""))</f>
        <v/>
      </c>
    </row>
    <row r="655" spans="6:6" x14ac:dyDescent="0.25">
      <c r="F655" t="str">
        <f>IF(E655="","",IFERROR(_xlfn.XLOOKUP(E655,Settings!$F$2:$F$38,Settings!$E$2:$E$38,""),""))</f>
        <v/>
      </c>
    </row>
    <row r="656" spans="6:6" x14ac:dyDescent="0.25">
      <c r="F656" t="str">
        <f>IF(E656="","",IFERROR(_xlfn.XLOOKUP(E656,Settings!$F$2:$F$38,Settings!$E$2:$E$38,""),""))</f>
        <v/>
      </c>
    </row>
    <row r="657" spans="6:6" x14ac:dyDescent="0.25">
      <c r="F657" t="str">
        <f>IF(E657="","",IFERROR(_xlfn.XLOOKUP(E657,Settings!$F$2:$F$38,Settings!$E$2:$E$38,""),""))</f>
        <v/>
      </c>
    </row>
    <row r="658" spans="6:6" x14ac:dyDescent="0.25">
      <c r="F658" t="str">
        <f>IF(E658="","",IFERROR(_xlfn.XLOOKUP(E658,Settings!$F$2:$F$38,Settings!$E$2:$E$38,""),""))</f>
        <v/>
      </c>
    </row>
    <row r="659" spans="6:6" x14ac:dyDescent="0.25">
      <c r="F659" t="str">
        <f>IF(E659="","",IFERROR(_xlfn.XLOOKUP(E659,Settings!$F$2:$F$38,Settings!$E$2:$E$38,""),""))</f>
        <v/>
      </c>
    </row>
    <row r="660" spans="6:6" x14ac:dyDescent="0.25">
      <c r="F660" t="str">
        <f>IF(E660="","",IFERROR(_xlfn.XLOOKUP(E660,Settings!$F$2:$F$38,Settings!$E$2:$E$38,""),""))</f>
        <v/>
      </c>
    </row>
    <row r="661" spans="6:6" x14ac:dyDescent="0.25">
      <c r="F661" t="str">
        <f>IF(E661="","",IFERROR(_xlfn.XLOOKUP(E661,Settings!$F$2:$F$38,Settings!$E$2:$E$38,""),""))</f>
        <v/>
      </c>
    </row>
    <row r="662" spans="6:6" x14ac:dyDescent="0.25">
      <c r="F662" t="str">
        <f>IF(E662="","",IFERROR(_xlfn.XLOOKUP(E662,Settings!$F$2:$F$38,Settings!$E$2:$E$38,""),""))</f>
        <v/>
      </c>
    </row>
    <row r="663" spans="6:6" x14ac:dyDescent="0.25">
      <c r="F663" t="str">
        <f>IF(E663="","",IFERROR(_xlfn.XLOOKUP(E663,Settings!$F$2:$F$38,Settings!$E$2:$E$38,""),""))</f>
        <v/>
      </c>
    </row>
    <row r="664" spans="6:6" x14ac:dyDescent="0.25">
      <c r="F664" t="str">
        <f>IF(E664="","",IFERROR(_xlfn.XLOOKUP(E664,Settings!$F$2:$F$38,Settings!$E$2:$E$38,""),""))</f>
        <v/>
      </c>
    </row>
    <row r="665" spans="6:6" x14ac:dyDescent="0.25">
      <c r="F665" t="str">
        <f>IF(E665="","",IFERROR(_xlfn.XLOOKUP(E665,Settings!$F$2:$F$38,Settings!$E$2:$E$38,""),""))</f>
        <v/>
      </c>
    </row>
    <row r="666" spans="6:6" x14ac:dyDescent="0.25">
      <c r="F666" t="str">
        <f>IF(E666="","",IFERROR(_xlfn.XLOOKUP(E666,Settings!$F$2:$F$38,Settings!$E$2:$E$38,""),""))</f>
        <v/>
      </c>
    </row>
    <row r="667" spans="6:6" x14ac:dyDescent="0.25">
      <c r="F667" t="str">
        <f>IF(E667="","",IFERROR(_xlfn.XLOOKUP(E667,Settings!$F$2:$F$38,Settings!$E$2:$E$38,""),""))</f>
        <v/>
      </c>
    </row>
    <row r="668" spans="6:6" x14ac:dyDescent="0.25">
      <c r="F668" t="str">
        <f>IF(E668="","",IFERROR(_xlfn.XLOOKUP(E668,Settings!$F$2:$F$38,Settings!$E$2:$E$38,""),""))</f>
        <v/>
      </c>
    </row>
    <row r="669" spans="6:6" x14ac:dyDescent="0.25">
      <c r="F669" t="str">
        <f>IF(E669="","",IFERROR(_xlfn.XLOOKUP(E669,Settings!$F$2:$F$38,Settings!$E$2:$E$38,""),""))</f>
        <v/>
      </c>
    </row>
    <row r="670" spans="6:6" x14ac:dyDescent="0.25">
      <c r="F670" t="str">
        <f>IF(E670="","",IFERROR(_xlfn.XLOOKUP(E670,Settings!$F$2:$F$38,Settings!$E$2:$E$38,""),""))</f>
        <v/>
      </c>
    </row>
    <row r="671" spans="6:6" x14ac:dyDescent="0.25">
      <c r="F671" t="str">
        <f>IF(E671="","",IFERROR(_xlfn.XLOOKUP(E671,Settings!$F$2:$F$38,Settings!$E$2:$E$38,""),""))</f>
        <v/>
      </c>
    </row>
    <row r="672" spans="6:6" x14ac:dyDescent="0.25">
      <c r="F672" t="str">
        <f>IF(E672="","",IFERROR(_xlfn.XLOOKUP(E672,Settings!$F$2:$F$38,Settings!$E$2:$E$38,""),""))</f>
        <v/>
      </c>
    </row>
    <row r="673" spans="6:6" x14ac:dyDescent="0.25">
      <c r="F673" t="str">
        <f>IF(E673="","",IFERROR(_xlfn.XLOOKUP(E673,Settings!$F$2:$F$38,Settings!$E$2:$E$38,""),""))</f>
        <v/>
      </c>
    </row>
    <row r="674" spans="6:6" x14ac:dyDescent="0.25">
      <c r="F674" t="str">
        <f>IF(E674="","",IFERROR(_xlfn.XLOOKUP(E674,Settings!$F$2:$F$38,Settings!$E$2:$E$38,""),""))</f>
        <v/>
      </c>
    </row>
    <row r="675" spans="6:6" x14ac:dyDescent="0.25">
      <c r="F675" t="str">
        <f>IF(E675="","",IFERROR(_xlfn.XLOOKUP(E675,Settings!$F$2:$F$38,Settings!$E$2:$E$38,""),""))</f>
        <v/>
      </c>
    </row>
    <row r="676" spans="6:6" x14ac:dyDescent="0.25">
      <c r="F676" t="str">
        <f>IF(E676="","",IFERROR(_xlfn.XLOOKUP(E676,Settings!$F$2:$F$38,Settings!$E$2:$E$38,""),""))</f>
        <v/>
      </c>
    </row>
    <row r="677" spans="6:6" x14ac:dyDescent="0.25">
      <c r="F677" t="str">
        <f>IF(E677="","",IFERROR(_xlfn.XLOOKUP(E677,Settings!$F$2:$F$38,Settings!$E$2:$E$38,""),""))</f>
        <v/>
      </c>
    </row>
    <row r="678" spans="6:6" x14ac:dyDescent="0.25">
      <c r="F678" t="str">
        <f>IF(E678="","",IFERROR(_xlfn.XLOOKUP(E678,Settings!$F$2:$F$38,Settings!$E$2:$E$38,""),""))</f>
        <v/>
      </c>
    </row>
    <row r="679" spans="6:6" x14ac:dyDescent="0.25">
      <c r="F679" t="str">
        <f>IF(E679="","",IFERROR(_xlfn.XLOOKUP(E679,Settings!$F$2:$F$38,Settings!$E$2:$E$38,""),""))</f>
        <v/>
      </c>
    </row>
    <row r="680" spans="6:6" x14ac:dyDescent="0.25">
      <c r="F680" t="str">
        <f>IF(E680="","",IFERROR(_xlfn.XLOOKUP(E680,Settings!$F$2:$F$38,Settings!$E$2:$E$38,""),""))</f>
        <v/>
      </c>
    </row>
    <row r="681" spans="6:6" x14ac:dyDescent="0.25">
      <c r="F681" t="str">
        <f>IF(E681="","",IFERROR(_xlfn.XLOOKUP(E681,Settings!$F$2:$F$38,Settings!$E$2:$E$38,""),""))</f>
        <v/>
      </c>
    </row>
    <row r="682" spans="6:6" x14ac:dyDescent="0.25">
      <c r="F682" t="str">
        <f>IF(E682="","",IFERROR(_xlfn.XLOOKUP(E682,Settings!$F$2:$F$38,Settings!$E$2:$E$38,""),""))</f>
        <v/>
      </c>
    </row>
    <row r="683" spans="6:6" x14ac:dyDescent="0.25">
      <c r="F683" t="str">
        <f>IF(E683="","",IFERROR(_xlfn.XLOOKUP(E683,Settings!$F$2:$F$38,Settings!$E$2:$E$38,""),""))</f>
        <v/>
      </c>
    </row>
    <row r="684" spans="6:6" x14ac:dyDescent="0.25">
      <c r="F684" t="str">
        <f>IF(E684="","",IFERROR(_xlfn.XLOOKUP(E684,Settings!$F$2:$F$38,Settings!$E$2:$E$38,""),""))</f>
        <v/>
      </c>
    </row>
    <row r="685" spans="6:6" x14ac:dyDescent="0.25">
      <c r="F685" t="str">
        <f>IF(E685="","",IFERROR(_xlfn.XLOOKUP(E685,Settings!$F$2:$F$38,Settings!$E$2:$E$38,""),""))</f>
        <v/>
      </c>
    </row>
    <row r="686" spans="6:6" x14ac:dyDescent="0.25">
      <c r="F686" t="str">
        <f>IF(E686="","",IFERROR(_xlfn.XLOOKUP(E686,Settings!$F$2:$F$38,Settings!$E$2:$E$38,""),""))</f>
        <v/>
      </c>
    </row>
    <row r="687" spans="6:6" x14ac:dyDescent="0.25">
      <c r="F687" t="str">
        <f>IF(E687="","",IFERROR(_xlfn.XLOOKUP(E687,Settings!$F$2:$F$38,Settings!$E$2:$E$38,""),""))</f>
        <v/>
      </c>
    </row>
    <row r="688" spans="6:6" x14ac:dyDescent="0.25">
      <c r="F688" t="str">
        <f>IF(E688="","",IFERROR(_xlfn.XLOOKUP(E688,Settings!$F$2:$F$38,Settings!$E$2:$E$38,""),""))</f>
        <v/>
      </c>
    </row>
    <row r="689" spans="6:6" x14ac:dyDescent="0.25">
      <c r="F689" t="str">
        <f>IF(E689="","",IFERROR(_xlfn.XLOOKUP(E689,Settings!$F$2:$F$38,Settings!$E$2:$E$38,""),""))</f>
        <v/>
      </c>
    </row>
    <row r="690" spans="6:6" x14ac:dyDescent="0.25">
      <c r="F690" t="str">
        <f>IF(E690="","",IFERROR(_xlfn.XLOOKUP(E690,Settings!$F$2:$F$38,Settings!$E$2:$E$38,""),""))</f>
        <v/>
      </c>
    </row>
    <row r="691" spans="6:6" x14ac:dyDescent="0.25">
      <c r="F691" t="str">
        <f>IF(E691="","",IFERROR(_xlfn.XLOOKUP(E691,Settings!$F$2:$F$38,Settings!$E$2:$E$38,""),""))</f>
        <v/>
      </c>
    </row>
    <row r="692" spans="6:6" x14ac:dyDescent="0.25">
      <c r="F692" t="str">
        <f>IF(E692="","",IFERROR(_xlfn.XLOOKUP(E692,Settings!$F$2:$F$38,Settings!$E$2:$E$38,""),""))</f>
        <v/>
      </c>
    </row>
    <row r="693" spans="6:6" x14ac:dyDescent="0.25">
      <c r="F693" t="str">
        <f>IF(E693="","",IFERROR(_xlfn.XLOOKUP(E693,Settings!$F$2:$F$38,Settings!$E$2:$E$38,""),""))</f>
        <v/>
      </c>
    </row>
    <row r="694" spans="6:6" x14ac:dyDescent="0.25">
      <c r="F694" t="str">
        <f>IF(E694="","",IFERROR(_xlfn.XLOOKUP(E694,Settings!$F$2:$F$38,Settings!$E$2:$E$38,""),""))</f>
        <v/>
      </c>
    </row>
    <row r="695" spans="6:6" x14ac:dyDescent="0.25">
      <c r="F695" t="str">
        <f>IF(E695="","",IFERROR(_xlfn.XLOOKUP(E695,Settings!$F$2:$F$38,Settings!$E$2:$E$38,""),""))</f>
        <v/>
      </c>
    </row>
    <row r="696" spans="6:6" x14ac:dyDescent="0.25">
      <c r="F696" t="str">
        <f>IF(E696="","",IFERROR(_xlfn.XLOOKUP(E696,Settings!$F$2:$F$38,Settings!$E$2:$E$38,""),""))</f>
        <v/>
      </c>
    </row>
    <row r="697" spans="6:6" x14ac:dyDescent="0.25">
      <c r="F697" t="str">
        <f>IF(E697="","",IFERROR(_xlfn.XLOOKUP(E697,Settings!$F$2:$F$38,Settings!$E$2:$E$38,""),""))</f>
        <v/>
      </c>
    </row>
    <row r="698" spans="6:6" x14ac:dyDescent="0.25">
      <c r="F698" t="str">
        <f>IF(E698="","",IFERROR(_xlfn.XLOOKUP(E698,Settings!$F$2:$F$38,Settings!$E$2:$E$38,""),""))</f>
        <v/>
      </c>
    </row>
    <row r="699" spans="6:6" x14ac:dyDescent="0.25">
      <c r="F699" t="str">
        <f>IF(E699="","",IFERROR(_xlfn.XLOOKUP(E699,Settings!$F$2:$F$38,Settings!$E$2:$E$38,""),""))</f>
        <v/>
      </c>
    </row>
    <row r="700" spans="6:6" x14ac:dyDescent="0.25">
      <c r="F700" t="str">
        <f>IF(E700="","",IFERROR(_xlfn.XLOOKUP(E700,Settings!$F$2:$F$38,Settings!$E$2:$E$38,""),""))</f>
        <v/>
      </c>
    </row>
    <row r="701" spans="6:6" x14ac:dyDescent="0.25">
      <c r="F701" t="str">
        <f>IF(E701="","",IFERROR(_xlfn.XLOOKUP(E701,Settings!$F$2:$F$38,Settings!$E$2:$E$38,""),""))</f>
        <v/>
      </c>
    </row>
    <row r="702" spans="6:6" x14ac:dyDescent="0.25">
      <c r="F702" t="str">
        <f>IF(E702="","",IFERROR(_xlfn.XLOOKUP(E702,Settings!$F$2:$F$38,Settings!$E$2:$E$38,""),""))</f>
        <v/>
      </c>
    </row>
    <row r="703" spans="6:6" x14ac:dyDescent="0.25">
      <c r="F703" t="str">
        <f>IF(E703="","",IFERROR(_xlfn.XLOOKUP(E703,Settings!$F$2:$F$38,Settings!$E$2:$E$38,""),""))</f>
        <v/>
      </c>
    </row>
    <row r="704" spans="6:6" x14ac:dyDescent="0.25">
      <c r="F704" t="str">
        <f>IF(E704="","",IFERROR(_xlfn.XLOOKUP(E704,Settings!$F$2:$F$38,Settings!$E$2:$E$38,""),""))</f>
        <v/>
      </c>
    </row>
    <row r="705" spans="6:6" x14ac:dyDescent="0.25">
      <c r="F705" t="str">
        <f>IF(E705="","",IFERROR(_xlfn.XLOOKUP(E705,Settings!$F$2:$F$38,Settings!$E$2:$E$38,""),""))</f>
        <v/>
      </c>
    </row>
    <row r="706" spans="6:6" x14ac:dyDescent="0.25">
      <c r="F706" t="str">
        <f>IF(E706="","",IFERROR(_xlfn.XLOOKUP(E706,Settings!$F$2:$F$38,Settings!$E$2:$E$38,""),""))</f>
        <v/>
      </c>
    </row>
    <row r="707" spans="6:6" x14ac:dyDescent="0.25">
      <c r="F707" t="str">
        <f>IF(E707="","",IFERROR(_xlfn.XLOOKUP(E707,Settings!$F$2:$F$38,Settings!$E$2:$E$38,""),""))</f>
        <v/>
      </c>
    </row>
    <row r="708" spans="6:6" x14ac:dyDescent="0.25">
      <c r="F708" t="str">
        <f>IF(E708="","",IFERROR(_xlfn.XLOOKUP(E708,Settings!$F$2:$F$38,Settings!$E$2:$E$38,""),""))</f>
        <v/>
      </c>
    </row>
    <row r="709" spans="6:6" x14ac:dyDescent="0.25">
      <c r="F709" t="str">
        <f>IF(E709="","",IFERROR(_xlfn.XLOOKUP(E709,Settings!$F$2:$F$38,Settings!$E$2:$E$38,""),""))</f>
        <v/>
      </c>
    </row>
    <row r="710" spans="6:6" x14ac:dyDescent="0.25">
      <c r="F710" t="str">
        <f>IF(E710="","",IFERROR(_xlfn.XLOOKUP(E710,Settings!$F$2:$F$38,Settings!$E$2:$E$38,""),""))</f>
        <v/>
      </c>
    </row>
    <row r="711" spans="6:6" x14ac:dyDescent="0.25">
      <c r="F711" t="str">
        <f>IF(E711="","",IFERROR(_xlfn.XLOOKUP(E711,Settings!$F$2:$F$38,Settings!$E$2:$E$38,""),""))</f>
        <v/>
      </c>
    </row>
    <row r="712" spans="6:6" x14ac:dyDescent="0.25">
      <c r="F712" t="str">
        <f>IF(E712="","",IFERROR(_xlfn.XLOOKUP(E712,Settings!$F$2:$F$38,Settings!$E$2:$E$38,""),""))</f>
        <v/>
      </c>
    </row>
    <row r="713" spans="6:6" x14ac:dyDescent="0.25">
      <c r="F713" t="str">
        <f>IF(E713="","",IFERROR(_xlfn.XLOOKUP(E713,Settings!$F$2:$F$38,Settings!$E$2:$E$38,""),""))</f>
        <v/>
      </c>
    </row>
    <row r="714" spans="6:6" x14ac:dyDescent="0.25">
      <c r="F714" t="str">
        <f>IF(E714="","",IFERROR(_xlfn.XLOOKUP(E714,Settings!$F$2:$F$38,Settings!$E$2:$E$38,""),""))</f>
        <v/>
      </c>
    </row>
    <row r="715" spans="6:6" x14ac:dyDescent="0.25">
      <c r="F715" t="str">
        <f>IF(E715="","",IFERROR(_xlfn.XLOOKUP(E715,Settings!$F$2:$F$38,Settings!$E$2:$E$38,""),""))</f>
        <v/>
      </c>
    </row>
    <row r="716" spans="6:6" x14ac:dyDescent="0.25">
      <c r="F716" t="str">
        <f>IF(E716="","",IFERROR(_xlfn.XLOOKUP(E716,Settings!$F$2:$F$38,Settings!$E$2:$E$38,""),""))</f>
        <v/>
      </c>
    </row>
    <row r="717" spans="6:6" x14ac:dyDescent="0.25">
      <c r="F717" t="str">
        <f>IF(E717="","",IFERROR(_xlfn.XLOOKUP(E717,Settings!$F$2:$F$38,Settings!$E$2:$E$38,""),""))</f>
        <v/>
      </c>
    </row>
    <row r="718" spans="6:6" x14ac:dyDescent="0.25">
      <c r="F718" t="str">
        <f>IF(E718="","",IFERROR(_xlfn.XLOOKUP(E718,Settings!$F$2:$F$38,Settings!$E$2:$E$38,""),""))</f>
        <v/>
      </c>
    </row>
    <row r="719" spans="6:6" x14ac:dyDescent="0.25">
      <c r="F719" t="str">
        <f>IF(E719="","",IFERROR(_xlfn.XLOOKUP(E719,Settings!$F$2:$F$38,Settings!$E$2:$E$38,""),""))</f>
        <v/>
      </c>
    </row>
    <row r="720" spans="6:6" x14ac:dyDescent="0.25">
      <c r="F720" t="str">
        <f>IF(E720="","",IFERROR(_xlfn.XLOOKUP(E720,Settings!$F$2:$F$38,Settings!$E$2:$E$38,""),""))</f>
        <v/>
      </c>
    </row>
    <row r="721" spans="6:6" x14ac:dyDescent="0.25">
      <c r="F721" t="str">
        <f>IF(E721="","",IFERROR(_xlfn.XLOOKUP(E721,Settings!$F$2:$F$38,Settings!$E$2:$E$38,""),""))</f>
        <v/>
      </c>
    </row>
    <row r="722" spans="6:6" x14ac:dyDescent="0.25">
      <c r="F722" t="str">
        <f>IF(E722="","",IFERROR(_xlfn.XLOOKUP(E722,Settings!$F$2:$F$38,Settings!$E$2:$E$38,""),""))</f>
        <v/>
      </c>
    </row>
    <row r="723" spans="6:6" x14ac:dyDescent="0.25">
      <c r="F723" t="str">
        <f>IF(E723="","",IFERROR(_xlfn.XLOOKUP(E723,Settings!$F$2:$F$38,Settings!$E$2:$E$38,""),""))</f>
        <v/>
      </c>
    </row>
    <row r="724" spans="6:6" x14ac:dyDescent="0.25">
      <c r="F724" t="str">
        <f>IF(E724="","",IFERROR(_xlfn.XLOOKUP(E724,Settings!$F$2:$F$38,Settings!$E$2:$E$38,""),""))</f>
        <v/>
      </c>
    </row>
    <row r="725" spans="6:6" x14ac:dyDescent="0.25">
      <c r="F725" t="str">
        <f>IF(E725="","",IFERROR(_xlfn.XLOOKUP(E725,Settings!$F$2:$F$38,Settings!$E$2:$E$38,""),""))</f>
        <v/>
      </c>
    </row>
    <row r="726" spans="6:6" x14ac:dyDescent="0.25">
      <c r="F726" t="str">
        <f>IF(E726="","",IFERROR(_xlfn.XLOOKUP(E726,Settings!$F$2:$F$38,Settings!$E$2:$E$38,""),""))</f>
        <v/>
      </c>
    </row>
    <row r="727" spans="6:6" x14ac:dyDescent="0.25">
      <c r="F727" t="str">
        <f>IF(E727="","",IFERROR(_xlfn.XLOOKUP(E727,Settings!$F$2:$F$38,Settings!$E$2:$E$38,""),""))</f>
        <v/>
      </c>
    </row>
    <row r="728" spans="6:6" x14ac:dyDescent="0.25">
      <c r="F728" t="str">
        <f>IF(E728="","",IFERROR(_xlfn.XLOOKUP(E728,Settings!$F$2:$F$38,Settings!$E$2:$E$38,""),""))</f>
        <v/>
      </c>
    </row>
    <row r="729" spans="6:6" x14ac:dyDescent="0.25">
      <c r="F729" t="str">
        <f>IF(E729="","",IFERROR(_xlfn.XLOOKUP(E729,Settings!$F$2:$F$38,Settings!$E$2:$E$38,""),""))</f>
        <v/>
      </c>
    </row>
    <row r="730" spans="6:6" x14ac:dyDescent="0.25">
      <c r="F730" t="str">
        <f>IF(E730="","",IFERROR(_xlfn.XLOOKUP(E730,Settings!$F$2:$F$38,Settings!$E$2:$E$38,""),""))</f>
        <v/>
      </c>
    </row>
    <row r="731" spans="6:6" x14ac:dyDescent="0.25">
      <c r="F731" t="str">
        <f>IF(E731="","",IFERROR(_xlfn.XLOOKUP(E731,Settings!$F$2:$F$38,Settings!$E$2:$E$38,""),""))</f>
        <v/>
      </c>
    </row>
    <row r="732" spans="6:6" x14ac:dyDescent="0.25">
      <c r="F732" t="str">
        <f>IF(E732="","",IFERROR(_xlfn.XLOOKUP(E732,Settings!$F$2:$F$38,Settings!$E$2:$E$38,""),""))</f>
        <v/>
      </c>
    </row>
    <row r="733" spans="6:6" x14ac:dyDescent="0.25">
      <c r="F733" t="str">
        <f>IF(E733="","",IFERROR(_xlfn.XLOOKUP(E733,Settings!$F$2:$F$38,Settings!$E$2:$E$38,""),""))</f>
        <v/>
      </c>
    </row>
    <row r="734" spans="6:6" x14ac:dyDescent="0.25">
      <c r="F734" t="str">
        <f>IF(E734="","",IFERROR(_xlfn.XLOOKUP(E734,Settings!$F$2:$F$38,Settings!$E$2:$E$38,""),""))</f>
        <v/>
      </c>
    </row>
    <row r="735" spans="6:6" x14ac:dyDescent="0.25">
      <c r="F735" t="str">
        <f>IF(E735="","",IFERROR(_xlfn.XLOOKUP(E735,Settings!$F$2:$F$38,Settings!$E$2:$E$38,""),""))</f>
        <v/>
      </c>
    </row>
    <row r="736" spans="6:6" x14ac:dyDescent="0.25">
      <c r="F736" t="str">
        <f>IF(E736="","",IFERROR(_xlfn.XLOOKUP(E736,Settings!$F$2:$F$38,Settings!$E$2:$E$38,""),""))</f>
        <v/>
      </c>
    </row>
    <row r="737" spans="6:6" x14ac:dyDescent="0.25">
      <c r="F737" t="str">
        <f>IF(E737="","",IFERROR(_xlfn.XLOOKUP(E737,Settings!$F$2:$F$38,Settings!$E$2:$E$38,""),""))</f>
        <v/>
      </c>
    </row>
    <row r="738" spans="6:6" x14ac:dyDescent="0.25">
      <c r="F738" t="str">
        <f>IF(E738="","",IFERROR(_xlfn.XLOOKUP(E738,Settings!$F$2:$F$38,Settings!$E$2:$E$38,""),""))</f>
        <v/>
      </c>
    </row>
    <row r="739" spans="6:6" x14ac:dyDescent="0.25">
      <c r="F739" t="str">
        <f>IF(E739="","",IFERROR(_xlfn.XLOOKUP(E739,Settings!$F$2:$F$38,Settings!$E$2:$E$38,""),""))</f>
        <v/>
      </c>
    </row>
    <row r="740" spans="6:6" x14ac:dyDescent="0.25">
      <c r="F740" t="str">
        <f>IF(E740="","",IFERROR(_xlfn.XLOOKUP(E740,Settings!$F$2:$F$38,Settings!$E$2:$E$38,""),""))</f>
        <v/>
      </c>
    </row>
    <row r="741" spans="6:6" x14ac:dyDescent="0.25">
      <c r="F741" t="str">
        <f>IF(E741="","",IFERROR(_xlfn.XLOOKUP(E741,Settings!$F$2:$F$38,Settings!$E$2:$E$38,""),""))</f>
        <v/>
      </c>
    </row>
    <row r="742" spans="6:6" x14ac:dyDescent="0.25">
      <c r="F742" t="str">
        <f>IF(E742="","",IFERROR(_xlfn.XLOOKUP(E742,Settings!$F$2:$F$38,Settings!$E$2:$E$38,""),""))</f>
        <v/>
      </c>
    </row>
    <row r="743" spans="6:6" x14ac:dyDescent="0.25">
      <c r="F743" t="str">
        <f>IF(E743="","",IFERROR(_xlfn.XLOOKUP(E743,Settings!$F$2:$F$38,Settings!$E$2:$E$38,""),""))</f>
        <v/>
      </c>
    </row>
    <row r="744" spans="6:6" x14ac:dyDescent="0.25">
      <c r="F744" t="str">
        <f>IF(E744="","",IFERROR(_xlfn.XLOOKUP(E744,Settings!$F$2:$F$38,Settings!$E$2:$E$38,""),""))</f>
        <v/>
      </c>
    </row>
    <row r="745" spans="6:6" x14ac:dyDescent="0.25">
      <c r="F745" t="str">
        <f>IF(E745="","",IFERROR(_xlfn.XLOOKUP(E745,Settings!$F$2:$F$38,Settings!$E$2:$E$38,""),""))</f>
        <v/>
      </c>
    </row>
    <row r="746" spans="6:6" x14ac:dyDescent="0.25">
      <c r="F746" t="str">
        <f>IF(E746="","",IFERROR(_xlfn.XLOOKUP(E746,Settings!$F$2:$F$38,Settings!$E$2:$E$38,""),""))</f>
        <v/>
      </c>
    </row>
    <row r="747" spans="6:6" x14ac:dyDescent="0.25">
      <c r="F747" t="str">
        <f>IF(E747="","",IFERROR(_xlfn.XLOOKUP(E747,Settings!$F$2:$F$38,Settings!$E$2:$E$38,""),""))</f>
        <v/>
      </c>
    </row>
    <row r="748" spans="6:6" x14ac:dyDescent="0.25">
      <c r="F748" t="str">
        <f>IF(E748="","",IFERROR(_xlfn.XLOOKUP(E748,Settings!$F$2:$F$38,Settings!$E$2:$E$38,""),""))</f>
        <v/>
      </c>
    </row>
    <row r="749" spans="6:6" x14ac:dyDescent="0.25">
      <c r="F749" t="str">
        <f>IF(E749="","",IFERROR(_xlfn.XLOOKUP(E749,Settings!$F$2:$F$38,Settings!$E$2:$E$38,""),""))</f>
        <v/>
      </c>
    </row>
    <row r="750" spans="6:6" x14ac:dyDescent="0.25">
      <c r="F750" t="str">
        <f>IF(E750="","",IFERROR(_xlfn.XLOOKUP(E750,Settings!$F$2:$F$38,Settings!$E$2:$E$38,""),""))</f>
        <v/>
      </c>
    </row>
    <row r="751" spans="6:6" x14ac:dyDescent="0.25">
      <c r="F751" t="str">
        <f>IF(E751="","",IFERROR(_xlfn.XLOOKUP(E751,Settings!$F$2:$F$38,Settings!$E$2:$E$38,""),""))</f>
        <v/>
      </c>
    </row>
    <row r="752" spans="6:6" x14ac:dyDescent="0.25">
      <c r="F752" t="str">
        <f>IF(E752="","",IFERROR(_xlfn.XLOOKUP(E752,Settings!$F$2:$F$38,Settings!$E$2:$E$38,""),""))</f>
        <v/>
      </c>
    </row>
    <row r="753" spans="6:6" x14ac:dyDescent="0.25">
      <c r="F753" t="str">
        <f>IF(E753="","",IFERROR(_xlfn.XLOOKUP(E753,Settings!$F$2:$F$38,Settings!$E$2:$E$38,""),""))</f>
        <v/>
      </c>
    </row>
    <row r="754" spans="6:6" x14ac:dyDescent="0.25">
      <c r="F754" t="str">
        <f>IF(E754="","",IFERROR(_xlfn.XLOOKUP(E754,Settings!$F$2:$F$38,Settings!$E$2:$E$38,""),""))</f>
        <v/>
      </c>
    </row>
    <row r="755" spans="6:6" x14ac:dyDescent="0.25">
      <c r="F755" t="str">
        <f>IF(E755="","",IFERROR(_xlfn.XLOOKUP(E755,Settings!$F$2:$F$38,Settings!$E$2:$E$38,""),""))</f>
        <v/>
      </c>
    </row>
    <row r="756" spans="6:6" x14ac:dyDescent="0.25">
      <c r="F756" t="str">
        <f>IF(E756="","",IFERROR(_xlfn.XLOOKUP(E756,Settings!$F$2:$F$38,Settings!$E$2:$E$38,""),""))</f>
        <v/>
      </c>
    </row>
    <row r="757" spans="6:6" x14ac:dyDescent="0.25">
      <c r="F757" t="str">
        <f>IF(E757="","",IFERROR(_xlfn.XLOOKUP(E757,Settings!$F$2:$F$38,Settings!$E$2:$E$38,""),""))</f>
        <v/>
      </c>
    </row>
    <row r="758" spans="6:6" x14ac:dyDescent="0.25">
      <c r="F758" t="str">
        <f>IF(E758="","",IFERROR(_xlfn.XLOOKUP(E758,Settings!$F$2:$F$38,Settings!$E$2:$E$38,""),""))</f>
        <v/>
      </c>
    </row>
    <row r="759" spans="6:6" x14ac:dyDescent="0.25">
      <c r="F759" t="str">
        <f>IF(E759="","",IFERROR(_xlfn.XLOOKUP(E759,Settings!$F$2:$F$38,Settings!$E$2:$E$38,""),""))</f>
        <v/>
      </c>
    </row>
    <row r="760" spans="6:6" x14ac:dyDescent="0.25">
      <c r="F760" t="str">
        <f>IF(E760="","",IFERROR(_xlfn.XLOOKUP(E760,Settings!$F$2:$F$38,Settings!$E$2:$E$38,""),""))</f>
        <v/>
      </c>
    </row>
    <row r="761" spans="6:6" x14ac:dyDescent="0.25">
      <c r="F761" t="str">
        <f>IF(E761="","",IFERROR(_xlfn.XLOOKUP(E761,Settings!$F$2:$F$38,Settings!$E$2:$E$38,""),""))</f>
        <v/>
      </c>
    </row>
    <row r="762" spans="6:6" x14ac:dyDescent="0.25">
      <c r="F762" t="str">
        <f>IF(E762="","",IFERROR(_xlfn.XLOOKUP(E762,Settings!$F$2:$F$38,Settings!$E$2:$E$38,""),""))</f>
        <v/>
      </c>
    </row>
    <row r="763" spans="6:6" x14ac:dyDescent="0.25">
      <c r="F763" t="str">
        <f>IF(E763="","",IFERROR(_xlfn.XLOOKUP(E763,Settings!$F$2:$F$38,Settings!$E$2:$E$38,""),""))</f>
        <v/>
      </c>
    </row>
    <row r="764" spans="6:6" x14ac:dyDescent="0.25">
      <c r="F764" t="str">
        <f>IF(E764="","",IFERROR(_xlfn.XLOOKUP(E764,Settings!$F$2:$F$38,Settings!$E$2:$E$38,""),""))</f>
        <v/>
      </c>
    </row>
    <row r="765" spans="6:6" x14ac:dyDescent="0.25">
      <c r="F765" t="str">
        <f>IF(E765="","",IFERROR(_xlfn.XLOOKUP(E765,Settings!$F$2:$F$38,Settings!$E$2:$E$38,""),""))</f>
        <v/>
      </c>
    </row>
    <row r="766" spans="6:6" x14ac:dyDescent="0.25">
      <c r="F766" t="str">
        <f>IF(E766="","",IFERROR(_xlfn.XLOOKUP(E766,Settings!$F$2:$F$38,Settings!$E$2:$E$38,""),""))</f>
        <v/>
      </c>
    </row>
    <row r="767" spans="6:6" x14ac:dyDescent="0.25">
      <c r="F767" t="str">
        <f>IF(E767="","",IFERROR(_xlfn.XLOOKUP(E767,Settings!$F$2:$F$38,Settings!$E$2:$E$38,""),""))</f>
        <v/>
      </c>
    </row>
    <row r="768" spans="6:6" x14ac:dyDescent="0.25">
      <c r="F768" t="str">
        <f>IF(E768="","",IFERROR(_xlfn.XLOOKUP(E768,Settings!$F$2:$F$38,Settings!$E$2:$E$38,""),""))</f>
        <v/>
      </c>
    </row>
    <row r="769" spans="6:6" x14ac:dyDescent="0.25">
      <c r="F769" t="str">
        <f>IF(E769="","",IFERROR(_xlfn.XLOOKUP(E769,Settings!$F$2:$F$38,Settings!$E$2:$E$38,""),""))</f>
        <v/>
      </c>
    </row>
    <row r="770" spans="6:6" x14ac:dyDescent="0.25">
      <c r="F770" t="str">
        <f>IF(E770="","",IFERROR(_xlfn.XLOOKUP(E770,Settings!$F$2:$F$38,Settings!$E$2:$E$38,""),""))</f>
        <v/>
      </c>
    </row>
    <row r="771" spans="6:6" x14ac:dyDescent="0.25">
      <c r="F771" t="str">
        <f>IF(E771="","",IFERROR(_xlfn.XLOOKUP(E771,Settings!$F$2:$F$38,Settings!$E$2:$E$38,""),""))</f>
        <v/>
      </c>
    </row>
    <row r="772" spans="6:6" x14ac:dyDescent="0.25">
      <c r="F772" t="str">
        <f>IF(E772="","",IFERROR(_xlfn.XLOOKUP(E772,Settings!$F$2:$F$38,Settings!$E$2:$E$38,""),""))</f>
        <v/>
      </c>
    </row>
    <row r="773" spans="6:6" x14ac:dyDescent="0.25">
      <c r="F773" t="str">
        <f>IF(E773="","",IFERROR(_xlfn.XLOOKUP(E773,Settings!$F$2:$F$38,Settings!$E$2:$E$38,""),""))</f>
        <v/>
      </c>
    </row>
    <row r="774" spans="6:6" x14ac:dyDescent="0.25">
      <c r="F774" t="str">
        <f>IF(E774="","",IFERROR(_xlfn.XLOOKUP(E774,Settings!$F$2:$F$38,Settings!$E$2:$E$38,""),""))</f>
        <v/>
      </c>
    </row>
    <row r="775" spans="6:6" x14ac:dyDescent="0.25">
      <c r="F775" t="str">
        <f>IF(E775="","",IFERROR(_xlfn.XLOOKUP(E775,Settings!$F$2:$F$38,Settings!$E$2:$E$38,""),""))</f>
        <v/>
      </c>
    </row>
    <row r="776" spans="6:6" x14ac:dyDescent="0.25">
      <c r="F776" t="str">
        <f>IF(E776="","",IFERROR(_xlfn.XLOOKUP(E776,Settings!$F$2:$F$38,Settings!$E$2:$E$38,""),""))</f>
        <v/>
      </c>
    </row>
    <row r="777" spans="6:6" x14ac:dyDescent="0.25">
      <c r="F777" t="str">
        <f>IF(E777="","",IFERROR(_xlfn.XLOOKUP(E777,Settings!$F$2:$F$38,Settings!$E$2:$E$38,""),""))</f>
        <v/>
      </c>
    </row>
    <row r="778" spans="6:6" x14ac:dyDescent="0.25">
      <c r="F778" t="str">
        <f>IF(E778="","",IFERROR(_xlfn.XLOOKUP(E778,Settings!$F$2:$F$38,Settings!$E$2:$E$38,""),""))</f>
        <v/>
      </c>
    </row>
    <row r="779" spans="6:6" x14ac:dyDescent="0.25">
      <c r="F779" t="str">
        <f>IF(E779="","",IFERROR(_xlfn.XLOOKUP(E779,Settings!$F$2:$F$38,Settings!$E$2:$E$38,""),""))</f>
        <v/>
      </c>
    </row>
    <row r="780" spans="6:6" x14ac:dyDescent="0.25">
      <c r="F780" t="str">
        <f>IF(E780="","",IFERROR(_xlfn.XLOOKUP(E780,Settings!$F$2:$F$38,Settings!$E$2:$E$38,""),""))</f>
        <v/>
      </c>
    </row>
    <row r="781" spans="6:6" x14ac:dyDescent="0.25">
      <c r="F781" t="str">
        <f>IF(E781="","",IFERROR(_xlfn.XLOOKUP(E781,Settings!$F$2:$F$38,Settings!$E$2:$E$38,""),""))</f>
        <v/>
      </c>
    </row>
    <row r="782" spans="6:6" x14ac:dyDescent="0.25">
      <c r="F782" t="str">
        <f>IF(E782="","",IFERROR(_xlfn.XLOOKUP(E782,Settings!$F$2:$F$38,Settings!$E$2:$E$38,""),""))</f>
        <v/>
      </c>
    </row>
    <row r="783" spans="6:6" x14ac:dyDescent="0.25">
      <c r="F783" t="str">
        <f>IF(E783="","",IFERROR(_xlfn.XLOOKUP(E783,Settings!$F$2:$F$38,Settings!$E$2:$E$38,""),""))</f>
        <v/>
      </c>
    </row>
    <row r="784" spans="6:6" x14ac:dyDescent="0.25">
      <c r="F784" t="str">
        <f>IF(E784="","",IFERROR(_xlfn.XLOOKUP(E784,Settings!$F$2:$F$38,Settings!$E$2:$E$38,""),""))</f>
        <v/>
      </c>
    </row>
    <row r="785" spans="6:6" x14ac:dyDescent="0.25">
      <c r="F785" t="str">
        <f>IF(E785="","",IFERROR(_xlfn.XLOOKUP(E785,Settings!$F$2:$F$38,Settings!$E$2:$E$38,""),""))</f>
        <v/>
      </c>
    </row>
    <row r="786" spans="6:6" x14ac:dyDescent="0.25">
      <c r="F786" t="str">
        <f>IF(E786="","",IFERROR(_xlfn.XLOOKUP(E786,Settings!$F$2:$F$38,Settings!$E$2:$E$38,""),""))</f>
        <v/>
      </c>
    </row>
    <row r="787" spans="6:6" x14ac:dyDescent="0.25">
      <c r="F787" t="str">
        <f>IF(E787="","",IFERROR(_xlfn.XLOOKUP(E787,Settings!$F$2:$F$38,Settings!$E$2:$E$38,""),""))</f>
        <v/>
      </c>
    </row>
    <row r="788" spans="6:6" x14ac:dyDescent="0.25">
      <c r="F788" t="str">
        <f>IF(E788="","",IFERROR(_xlfn.XLOOKUP(E788,Settings!$F$2:$F$38,Settings!$E$2:$E$38,""),""))</f>
        <v/>
      </c>
    </row>
    <row r="789" spans="6:6" x14ac:dyDescent="0.25">
      <c r="F789" t="str">
        <f>IF(E789="","",IFERROR(_xlfn.XLOOKUP(E789,Settings!$F$2:$F$38,Settings!$E$2:$E$38,""),""))</f>
        <v/>
      </c>
    </row>
    <row r="790" spans="6:6" x14ac:dyDescent="0.25">
      <c r="F790" t="str">
        <f>IF(E790="","",IFERROR(_xlfn.XLOOKUP(E790,Settings!$F$2:$F$38,Settings!$E$2:$E$38,""),""))</f>
        <v/>
      </c>
    </row>
    <row r="791" spans="6:6" x14ac:dyDescent="0.25">
      <c r="F791" t="str">
        <f>IF(E791="","",IFERROR(_xlfn.XLOOKUP(E791,Settings!$F$2:$F$38,Settings!$E$2:$E$38,""),""))</f>
        <v/>
      </c>
    </row>
    <row r="792" spans="6:6" x14ac:dyDescent="0.25">
      <c r="F792" t="str">
        <f>IF(E792="","",IFERROR(_xlfn.XLOOKUP(E792,Settings!$F$2:$F$38,Settings!$E$2:$E$38,""),""))</f>
        <v/>
      </c>
    </row>
    <row r="793" spans="6:6" x14ac:dyDescent="0.25">
      <c r="F793" t="str">
        <f>IF(E793="","",IFERROR(_xlfn.XLOOKUP(E793,Settings!$F$2:$F$38,Settings!$E$2:$E$38,""),""))</f>
        <v/>
      </c>
    </row>
    <row r="794" spans="6:6" x14ac:dyDescent="0.25">
      <c r="F794" t="str">
        <f>IF(E794="","",IFERROR(_xlfn.XLOOKUP(E794,Settings!$F$2:$F$38,Settings!$E$2:$E$38,""),""))</f>
        <v/>
      </c>
    </row>
    <row r="795" spans="6:6" x14ac:dyDescent="0.25">
      <c r="F795" t="str">
        <f>IF(E795="","",IFERROR(_xlfn.XLOOKUP(E795,Settings!$F$2:$F$38,Settings!$E$2:$E$38,""),""))</f>
        <v/>
      </c>
    </row>
    <row r="796" spans="6:6" x14ac:dyDescent="0.25">
      <c r="F796" t="str">
        <f>IF(E796="","",IFERROR(_xlfn.XLOOKUP(E796,Settings!$F$2:$F$38,Settings!$E$2:$E$38,""),""))</f>
        <v/>
      </c>
    </row>
    <row r="797" spans="6:6" x14ac:dyDescent="0.25">
      <c r="F797" t="str">
        <f>IF(E797="","",IFERROR(_xlfn.XLOOKUP(E797,Settings!$F$2:$F$38,Settings!$E$2:$E$38,""),""))</f>
        <v/>
      </c>
    </row>
    <row r="798" spans="6:6" x14ac:dyDescent="0.25">
      <c r="F798" t="str">
        <f>IF(E798="","",IFERROR(_xlfn.XLOOKUP(E798,Settings!$F$2:$F$38,Settings!$E$2:$E$38,""),""))</f>
        <v/>
      </c>
    </row>
    <row r="799" spans="6:6" x14ac:dyDescent="0.25">
      <c r="F799" t="str">
        <f>IF(E799="","",IFERROR(_xlfn.XLOOKUP(E799,Settings!$F$2:$F$38,Settings!$E$2:$E$38,""),""))</f>
        <v/>
      </c>
    </row>
    <row r="800" spans="6:6" x14ac:dyDescent="0.25">
      <c r="F800" t="str">
        <f>IF(E800="","",IFERROR(_xlfn.XLOOKUP(E800,Settings!$F$2:$F$38,Settings!$E$2:$E$38,""),""))</f>
        <v/>
      </c>
    </row>
    <row r="801" spans="6:6" x14ac:dyDescent="0.25">
      <c r="F801" t="str">
        <f>IF(E801="","",IFERROR(_xlfn.XLOOKUP(E801,Settings!$F$2:$F$38,Settings!$E$2:$E$38,""),""))</f>
        <v/>
      </c>
    </row>
    <row r="802" spans="6:6" x14ac:dyDescent="0.25">
      <c r="F802" t="str">
        <f>IF(E802="","",IFERROR(_xlfn.XLOOKUP(E802,Settings!$F$2:$F$38,Settings!$E$2:$E$38,""),""))</f>
        <v/>
      </c>
    </row>
    <row r="803" spans="6:6" x14ac:dyDescent="0.25">
      <c r="F803" t="str">
        <f>IF(E803="","",IFERROR(_xlfn.XLOOKUP(E803,Settings!$F$2:$F$38,Settings!$E$2:$E$38,""),""))</f>
        <v/>
      </c>
    </row>
    <row r="804" spans="6:6" x14ac:dyDescent="0.25">
      <c r="F804" t="str">
        <f>IF(E804="","",IFERROR(_xlfn.XLOOKUP(E804,Settings!$F$2:$F$38,Settings!$E$2:$E$38,""),""))</f>
        <v/>
      </c>
    </row>
    <row r="805" spans="6:6" x14ac:dyDescent="0.25">
      <c r="F805" t="str">
        <f>IF(E805="","",IFERROR(_xlfn.XLOOKUP(E805,Settings!$F$2:$F$38,Settings!$E$2:$E$38,""),""))</f>
        <v/>
      </c>
    </row>
    <row r="806" spans="6:6" x14ac:dyDescent="0.25">
      <c r="F806" t="str">
        <f>IF(E806="","",IFERROR(_xlfn.XLOOKUP(E806,Settings!$F$2:$F$38,Settings!$E$2:$E$38,""),""))</f>
        <v/>
      </c>
    </row>
    <row r="807" spans="6:6" x14ac:dyDescent="0.25">
      <c r="F807" t="str">
        <f>IF(E807="","",IFERROR(_xlfn.XLOOKUP(E807,Settings!$F$2:$F$38,Settings!$E$2:$E$38,""),""))</f>
        <v/>
      </c>
    </row>
    <row r="808" spans="6:6" x14ac:dyDescent="0.25">
      <c r="F808" t="str">
        <f>IF(E808="","",IFERROR(_xlfn.XLOOKUP(E808,Settings!$F$2:$F$38,Settings!$E$2:$E$38,""),""))</f>
        <v/>
      </c>
    </row>
    <row r="809" spans="6:6" x14ac:dyDescent="0.25">
      <c r="F809" t="str">
        <f>IF(E809="","",IFERROR(_xlfn.XLOOKUP(E809,Settings!$F$2:$F$38,Settings!$E$2:$E$38,""),""))</f>
        <v/>
      </c>
    </row>
    <row r="810" spans="6:6" x14ac:dyDescent="0.25">
      <c r="F810" t="str">
        <f>IF(E810="","",IFERROR(_xlfn.XLOOKUP(E810,Settings!$F$2:$F$38,Settings!$E$2:$E$38,""),""))</f>
        <v/>
      </c>
    </row>
    <row r="811" spans="6:6" x14ac:dyDescent="0.25">
      <c r="F811" t="str">
        <f>IF(E811="","",IFERROR(_xlfn.XLOOKUP(E811,Settings!$F$2:$F$38,Settings!$E$2:$E$38,""),""))</f>
        <v/>
      </c>
    </row>
    <row r="812" spans="6:6" x14ac:dyDescent="0.25">
      <c r="F812" t="str">
        <f>IF(E812="","",IFERROR(_xlfn.XLOOKUP(E812,Settings!$F$2:$F$38,Settings!$E$2:$E$38,""),""))</f>
        <v/>
      </c>
    </row>
    <row r="813" spans="6:6" x14ac:dyDescent="0.25">
      <c r="F813" t="str">
        <f>IF(E813="","",IFERROR(_xlfn.XLOOKUP(E813,Settings!$F$2:$F$38,Settings!$E$2:$E$38,""),""))</f>
        <v/>
      </c>
    </row>
    <row r="814" spans="6:6" x14ac:dyDescent="0.25">
      <c r="F814" t="str">
        <f>IF(E814="","",IFERROR(_xlfn.XLOOKUP(E814,Settings!$F$2:$F$38,Settings!$E$2:$E$38,""),""))</f>
        <v/>
      </c>
    </row>
    <row r="815" spans="6:6" x14ac:dyDescent="0.25">
      <c r="F815" t="str">
        <f>IF(E815="","",IFERROR(_xlfn.XLOOKUP(E815,Settings!$F$2:$F$38,Settings!$E$2:$E$38,""),""))</f>
        <v/>
      </c>
    </row>
    <row r="816" spans="6:6" x14ac:dyDescent="0.25">
      <c r="F816" t="str">
        <f>IF(E816="","",IFERROR(_xlfn.XLOOKUP(E816,Settings!$F$2:$F$38,Settings!$E$2:$E$38,""),""))</f>
        <v/>
      </c>
    </row>
    <row r="817" spans="6:6" x14ac:dyDescent="0.25">
      <c r="F817" t="str">
        <f>IF(E817="","",IFERROR(_xlfn.XLOOKUP(E817,Settings!$F$2:$F$38,Settings!$E$2:$E$38,""),""))</f>
        <v/>
      </c>
    </row>
    <row r="818" spans="6:6" x14ac:dyDescent="0.25">
      <c r="F818" t="str">
        <f>IF(E818="","",IFERROR(_xlfn.XLOOKUP(E818,Settings!$F$2:$F$38,Settings!$E$2:$E$38,""),""))</f>
        <v/>
      </c>
    </row>
    <row r="819" spans="6:6" x14ac:dyDescent="0.25">
      <c r="F819" t="str">
        <f>IF(E819="","",IFERROR(_xlfn.XLOOKUP(E819,Settings!$F$2:$F$38,Settings!$E$2:$E$38,""),""))</f>
        <v/>
      </c>
    </row>
    <row r="820" spans="6:6" x14ac:dyDescent="0.25">
      <c r="F820" t="str">
        <f>IF(E820="","",IFERROR(_xlfn.XLOOKUP(E820,Settings!$F$2:$F$38,Settings!$E$2:$E$38,""),""))</f>
        <v/>
      </c>
    </row>
    <row r="821" spans="6:6" x14ac:dyDescent="0.25">
      <c r="F821" t="str">
        <f>IF(E821="","",IFERROR(_xlfn.XLOOKUP(E821,Settings!$F$2:$F$38,Settings!$E$2:$E$38,""),""))</f>
        <v/>
      </c>
    </row>
    <row r="822" spans="6:6" x14ac:dyDescent="0.25">
      <c r="F822" t="str">
        <f>IF(E822="","",IFERROR(_xlfn.XLOOKUP(E822,Settings!$F$2:$F$38,Settings!$E$2:$E$38,""),""))</f>
        <v/>
      </c>
    </row>
    <row r="823" spans="6:6" x14ac:dyDescent="0.25">
      <c r="F823" t="str">
        <f>IF(E823="","",IFERROR(_xlfn.XLOOKUP(E823,Settings!$F$2:$F$38,Settings!$E$2:$E$38,""),""))</f>
        <v/>
      </c>
    </row>
    <row r="824" spans="6:6" x14ac:dyDescent="0.25">
      <c r="F824" t="str">
        <f>IF(E824="","",IFERROR(_xlfn.XLOOKUP(E824,Settings!$F$2:$F$38,Settings!$E$2:$E$38,""),""))</f>
        <v/>
      </c>
    </row>
    <row r="825" spans="6:6" x14ac:dyDescent="0.25">
      <c r="F825" t="str">
        <f>IF(E825="","",IFERROR(_xlfn.XLOOKUP(E825,Settings!$F$2:$F$38,Settings!$E$2:$E$38,""),""))</f>
        <v/>
      </c>
    </row>
    <row r="826" spans="6:6" x14ac:dyDescent="0.25">
      <c r="F826" t="str">
        <f>IF(E826="","",IFERROR(_xlfn.XLOOKUP(E826,Settings!$F$2:$F$38,Settings!$E$2:$E$38,""),""))</f>
        <v/>
      </c>
    </row>
    <row r="827" spans="6:6" x14ac:dyDescent="0.25">
      <c r="F827" t="str">
        <f>IF(E827="","",IFERROR(_xlfn.XLOOKUP(E827,Settings!$F$2:$F$38,Settings!$E$2:$E$38,""),""))</f>
        <v/>
      </c>
    </row>
    <row r="828" spans="6:6" x14ac:dyDescent="0.25">
      <c r="F828" t="str">
        <f>IF(E828="","",IFERROR(_xlfn.XLOOKUP(E828,Settings!$F$2:$F$38,Settings!$E$2:$E$38,""),""))</f>
        <v/>
      </c>
    </row>
    <row r="829" spans="6:6" x14ac:dyDescent="0.25">
      <c r="F829" t="str">
        <f>IF(E829="","",IFERROR(_xlfn.XLOOKUP(E829,Settings!$F$2:$F$38,Settings!$E$2:$E$38,""),""))</f>
        <v/>
      </c>
    </row>
    <row r="830" spans="6:6" x14ac:dyDescent="0.25">
      <c r="F830" t="str">
        <f>IF(E830="","",IFERROR(_xlfn.XLOOKUP(E830,Settings!$F$2:$F$38,Settings!$E$2:$E$38,""),""))</f>
        <v/>
      </c>
    </row>
    <row r="831" spans="6:6" x14ac:dyDescent="0.25">
      <c r="F831" t="str">
        <f>IF(E831="","",IFERROR(_xlfn.XLOOKUP(E831,Settings!$F$2:$F$38,Settings!$E$2:$E$38,""),""))</f>
        <v/>
      </c>
    </row>
    <row r="832" spans="6:6" x14ac:dyDescent="0.25">
      <c r="F832" t="str">
        <f>IF(E832="","",IFERROR(_xlfn.XLOOKUP(E832,Settings!$F$2:$F$38,Settings!$E$2:$E$38,""),""))</f>
        <v/>
      </c>
    </row>
    <row r="833" spans="6:6" x14ac:dyDescent="0.25">
      <c r="F833" t="str">
        <f>IF(E833="","",IFERROR(_xlfn.XLOOKUP(E833,Settings!$F$2:$F$38,Settings!$E$2:$E$38,""),""))</f>
        <v/>
      </c>
    </row>
    <row r="834" spans="6:6" x14ac:dyDescent="0.25">
      <c r="F834" t="str">
        <f>IF(E834="","",IFERROR(_xlfn.XLOOKUP(E834,Settings!$F$2:$F$38,Settings!$E$2:$E$38,""),""))</f>
        <v/>
      </c>
    </row>
    <row r="835" spans="6:6" x14ac:dyDescent="0.25">
      <c r="F835" t="str">
        <f>IF(E835="","",IFERROR(_xlfn.XLOOKUP(E835,Settings!$F$2:$F$38,Settings!$E$2:$E$38,""),""))</f>
        <v/>
      </c>
    </row>
    <row r="836" spans="6:6" x14ac:dyDescent="0.25">
      <c r="F836" t="str">
        <f>IF(E836="","",IFERROR(_xlfn.XLOOKUP(E836,Settings!$F$2:$F$38,Settings!$E$2:$E$38,""),""))</f>
        <v/>
      </c>
    </row>
    <row r="837" spans="6:6" x14ac:dyDescent="0.25">
      <c r="F837" t="str">
        <f>IF(E837="","",IFERROR(_xlfn.XLOOKUP(E837,Settings!$F$2:$F$38,Settings!$E$2:$E$38,""),""))</f>
        <v/>
      </c>
    </row>
    <row r="838" spans="6:6" x14ac:dyDescent="0.25">
      <c r="F838" t="str">
        <f>IF(E838="","",IFERROR(_xlfn.XLOOKUP(E838,Settings!$F$2:$F$38,Settings!$E$2:$E$38,""),""))</f>
        <v/>
      </c>
    </row>
    <row r="839" spans="6:6" x14ac:dyDescent="0.25">
      <c r="F839" t="str">
        <f>IF(E839="","",IFERROR(_xlfn.XLOOKUP(E839,Settings!$F$2:$F$38,Settings!$E$2:$E$38,""),""))</f>
        <v/>
      </c>
    </row>
    <row r="840" spans="6:6" x14ac:dyDescent="0.25">
      <c r="F840" t="str">
        <f>IF(E840="","",IFERROR(_xlfn.XLOOKUP(E840,Settings!$F$2:$F$38,Settings!$E$2:$E$38,""),""))</f>
        <v/>
      </c>
    </row>
    <row r="841" spans="6:6" x14ac:dyDescent="0.25">
      <c r="F841" t="str">
        <f>IF(E841="","",IFERROR(_xlfn.XLOOKUP(E841,Settings!$F$2:$F$38,Settings!$E$2:$E$38,""),""))</f>
        <v/>
      </c>
    </row>
    <row r="842" spans="6:6" x14ac:dyDescent="0.25">
      <c r="F842" t="str">
        <f>IF(E842="","",IFERROR(_xlfn.XLOOKUP(E842,Settings!$F$2:$F$38,Settings!$E$2:$E$38,""),""))</f>
        <v/>
      </c>
    </row>
    <row r="843" spans="6:6" x14ac:dyDescent="0.25">
      <c r="F843" t="str">
        <f>IF(E843="","",IFERROR(_xlfn.XLOOKUP(E843,Settings!$F$2:$F$38,Settings!$E$2:$E$38,""),""))</f>
        <v/>
      </c>
    </row>
    <row r="844" spans="6:6" x14ac:dyDescent="0.25">
      <c r="F844" t="str">
        <f>IF(E844="","",IFERROR(_xlfn.XLOOKUP(E844,Settings!$F$2:$F$38,Settings!$E$2:$E$38,""),""))</f>
        <v/>
      </c>
    </row>
    <row r="845" spans="6:6" x14ac:dyDescent="0.25">
      <c r="F845" t="str">
        <f>IF(E845="","",IFERROR(_xlfn.XLOOKUP(E845,Settings!$F$2:$F$38,Settings!$E$2:$E$38,""),""))</f>
        <v/>
      </c>
    </row>
    <row r="846" spans="6:6" x14ac:dyDescent="0.25">
      <c r="F846" t="str">
        <f>IF(E846="","",IFERROR(_xlfn.XLOOKUP(E846,Settings!$F$2:$F$38,Settings!$E$2:$E$38,""),""))</f>
        <v/>
      </c>
    </row>
    <row r="847" spans="6:6" x14ac:dyDescent="0.25">
      <c r="F847" t="str">
        <f>IF(E847="","",IFERROR(_xlfn.XLOOKUP(E847,Settings!$F$2:$F$38,Settings!$E$2:$E$38,""),""))</f>
        <v/>
      </c>
    </row>
    <row r="848" spans="6:6" x14ac:dyDescent="0.25">
      <c r="F848" t="str">
        <f>IF(E848="","",IFERROR(_xlfn.XLOOKUP(E848,Settings!$F$2:$F$38,Settings!$E$2:$E$38,""),""))</f>
        <v/>
      </c>
    </row>
    <row r="849" spans="6:6" x14ac:dyDescent="0.25">
      <c r="F849" t="str">
        <f>IF(E849="","",IFERROR(_xlfn.XLOOKUP(E849,Settings!$F$2:$F$38,Settings!$E$2:$E$38,""),""))</f>
        <v/>
      </c>
    </row>
    <row r="850" spans="6:6" x14ac:dyDescent="0.25">
      <c r="F850" t="str">
        <f>IF(E850="","",IFERROR(_xlfn.XLOOKUP(E850,Settings!$F$2:$F$38,Settings!$E$2:$E$38,""),""))</f>
        <v/>
      </c>
    </row>
    <row r="851" spans="6:6" x14ac:dyDescent="0.25">
      <c r="F851" t="str">
        <f>IF(E851="","",IFERROR(_xlfn.XLOOKUP(E851,Settings!$F$2:$F$38,Settings!$E$2:$E$38,""),""))</f>
        <v/>
      </c>
    </row>
    <row r="852" spans="6:6" x14ac:dyDescent="0.25">
      <c r="F852" t="str">
        <f>IF(E852="","",IFERROR(_xlfn.XLOOKUP(E852,Settings!$F$2:$F$38,Settings!$E$2:$E$38,""),""))</f>
        <v/>
      </c>
    </row>
    <row r="853" spans="6:6" x14ac:dyDescent="0.25">
      <c r="F853" t="str">
        <f>IF(E853="","",IFERROR(_xlfn.XLOOKUP(E853,Settings!$F$2:$F$38,Settings!$E$2:$E$38,""),""))</f>
        <v/>
      </c>
    </row>
    <row r="854" spans="6:6" x14ac:dyDescent="0.25">
      <c r="F854" t="str">
        <f>IF(E854="","",IFERROR(_xlfn.XLOOKUP(E854,Settings!$F$2:$F$38,Settings!$E$2:$E$38,""),""))</f>
        <v/>
      </c>
    </row>
    <row r="855" spans="6:6" x14ac:dyDescent="0.25">
      <c r="F855" t="str">
        <f>IF(E855="","",IFERROR(_xlfn.XLOOKUP(E855,Settings!$F$2:$F$38,Settings!$E$2:$E$38,""),""))</f>
        <v/>
      </c>
    </row>
    <row r="856" spans="6:6" x14ac:dyDescent="0.25">
      <c r="F856" t="str">
        <f>IF(E856="","",IFERROR(_xlfn.XLOOKUP(E856,Settings!$F$2:$F$38,Settings!$E$2:$E$38,""),""))</f>
        <v/>
      </c>
    </row>
    <row r="857" spans="6:6" x14ac:dyDescent="0.25">
      <c r="F857" t="str">
        <f>IF(E857="","",IFERROR(_xlfn.XLOOKUP(E857,Settings!$F$2:$F$38,Settings!$E$2:$E$38,""),""))</f>
        <v/>
      </c>
    </row>
    <row r="858" spans="6:6" x14ac:dyDescent="0.25">
      <c r="F858" t="str">
        <f>IF(E858="","",IFERROR(_xlfn.XLOOKUP(E858,Settings!$F$2:$F$38,Settings!$E$2:$E$38,""),""))</f>
        <v/>
      </c>
    </row>
    <row r="859" spans="6:6" x14ac:dyDescent="0.25">
      <c r="F859" t="str">
        <f>IF(E859="","",IFERROR(_xlfn.XLOOKUP(E859,Settings!$F$2:$F$38,Settings!$E$2:$E$38,""),""))</f>
        <v/>
      </c>
    </row>
    <row r="860" spans="6:6" x14ac:dyDescent="0.25">
      <c r="F860" t="str">
        <f>IF(E860="","",IFERROR(_xlfn.XLOOKUP(E860,Settings!$F$2:$F$38,Settings!$E$2:$E$38,""),""))</f>
        <v/>
      </c>
    </row>
    <row r="861" spans="6:6" x14ac:dyDescent="0.25">
      <c r="F861" t="str">
        <f>IF(E861="","",IFERROR(_xlfn.XLOOKUP(E861,Settings!$F$2:$F$38,Settings!$E$2:$E$38,""),""))</f>
        <v/>
      </c>
    </row>
    <row r="862" spans="6:6" x14ac:dyDescent="0.25">
      <c r="F862" t="str">
        <f>IF(E862="","",IFERROR(_xlfn.XLOOKUP(E862,Settings!$F$2:$F$38,Settings!$E$2:$E$38,""),""))</f>
        <v/>
      </c>
    </row>
    <row r="863" spans="6:6" x14ac:dyDescent="0.25">
      <c r="F863" t="str">
        <f>IF(E863="","",IFERROR(_xlfn.XLOOKUP(E863,Settings!$F$2:$F$38,Settings!$E$2:$E$38,""),""))</f>
        <v/>
      </c>
    </row>
    <row r="864" spans="6:6" x14ac:dyDescent="0.25">
      <c r="F864" t="str">
        <f>IF(E864="","",IFERROR(_xlfn.XLOOKUP(E864,Settings!$F$2:$F$38,Settings!$E$2:$E$38,""),""))</f>
        <v/>
      </c>
    </row>
    <row r="865" spans="6:6" x14ac:dyDescent="0.25">
      <c r="F865" t="str">
        <f>IF(E865="","",IFERROR(_xlfn.XLOOKUP(E865,Settings!$F$2:$F$38,Settings!$E$2:$E$38,""),""))</f>
        <v/>
      </c>
    </row>
    <row r="866" spans="6:6" x14ac:dyDescent="0.25">
      <c r="F866" t="str">
        <f>IF(E866="","",IFERROR(_xlfn.XLOOKUP(E866,Settings!$F$2:$F$38,Settings!$E$2:$E$38,""),""))</f>
        <v/>
      </c>
    </row>
    <row r="867" spans="6:6" x14ac:dyDescent="0.25">
      <c r="F867" t="str">
        <f>IF(E867="","",IFERROR(_xlfn.XLOOKUP(E867,Settings!$F$2:$F$38,Settings!$E$2:$E$38,""),""))</f>
        <v/>
      </c>
    </row>
    <row r="868" spans="6:6" x14ac:dyDescent="0.25">
      <c r="F868" t="str">
        <f>IF(E868="","",IFERROR(_xlfn.XLOOKUP(E868,Settings!$F$2:$F$38,Settings!$E$2:$E$38,""),""))</f>
        <v/>
      </c>
    </row>
    <row r="869" spans="6:6" x14ac:dyDescent="0.25">
      <c r="F869" t="str">
        <f>IF(E869="","",IFERROR(_xlfn.XLOOKUP(E869,Settings!$F$2:$F$38,Settings!$E$2:$E$38,""),""))</f>
        <v/>
      </c>
    </row>
    <row r="870" spans="6:6" x14ac:dyDescent="0.25">
      <c r="F870" t="str">
        <f>IF(E870="","",IFERROR(_xlfn.XLOOKUP(E870,Settings!$F$2:$F$38,Settings!$E$2:$E$38,""),""))</f>
        <v/>
      </c>
    </row>
    <row r="871" spans="6:6" x14ac:dyDescent="0.25">
      <c r="F871" t="str">
        <f>IF(E871="","",IFERROR(_xlfn.XLOOKUP(E871,Settings!$F$2:$F$38,Settings!$E$2:$E$38,""),""))</f>
        <v/>
      </c>
    </row>
    <row r="872" spans="6:6" x14ac:dyDescent="0.25">
      <c r="F872" t="str">
        <f>IF(E872="","",IFERROR(_xlfn.XLOOKUP(E872,Settings!$F$2:$F$38,Settings!$E$2:$E$38,""),""))</f>
        <v/>
      </c>
    </row>
    <row r="873" spans="6:6" x14ac:dyDescent="0.25">
      <c r="F873" t="str">
        <f>IF(E873="","",IFERROR(_xlfn.XLOOKUP(E873,Settings!$F$2:$F$38,Settings!$E$2:$E$38,""),""))</f>
        <v/>
      </c>
    </row>
    <row r="874" spans="6:6" x14ac:dyDescent="0.25">
      <c r="F874" t="str">
        <f>IF(E874="","",IFERROR(_xlfn.XLOOKUP(E874,Settings!$F$2:$F$38,Settings!$E$2:$E$38,""),""))</f>
        <v/>
      </c>
    </row>
    <row r="875" spans="6:6" x14ac:dyDescent="0.25">
      <c r="F875" t="str">
        <f>IF(E875="","",IFERROR(_xlfn.XLOOKUP(E875,Settings!$F$2:$F$38,Settings!$E$2:$E$38,""),""))</f>
        <v/>
      </c>
    </row>
    <row r="876" spans="6:6" x14ac:dyDescent="0.25">
      <c r="F876" t="str">
        <f>IF(E876="","",IFERROR(_xlfn.XLOOKUP(E876,Settings!$F$2:$F$38,Settings!$E$2:$E$38,""),""))</f>
        <v/>
      </c>
    </row>
    <row r="877" spans="6:6" x14ac:dyDescent="0.25">
      <c r="F877" t="str">
        <f>IF(E877="","",IFERROR(_xlfn.XLOOKUP(E877,Settings!$F$2:$F$38,Settings!$E$2:$E$38,""),""))</f>
        <v/>
      </c>
    </row>
    <row r="878" spans="6:6" x14ac:dyDescent="0.25">
      <c r="F878" t="str">
        <f>IF(E878="","",IFERROR(_xlfn.XLOOKUP(E878,Settings!$F$2:$F$38,Settings!$E$2:$E$38,""),""))</f>
        <v/>
      </c>
    </row>
    <row r="879" spans="6:6" x14ac:dyDescent="0.25">
      <c r="F879" t="str">
        <f>IF(E879="","",IFERROR(_xlfn.XLOOKUP(E879,Settings!$F$2:$F$38,Settings!$E$2:$E$38,""),""))</f>
        <v/>
      </c>
    </row>
    <row r="880" spans="6:6" x14ac:dyDescent="0.25">
      <c r="F880" t="str">
        <f>IF(E880="","",IFERROR(_xlfn.XLOOKUP(E880,Settings!$F$2:$F$38,Settings!$E$2:$E$38,""),""))</f>
        <v/>
      </c>
    </row>
    <row r="881" spans="6:6" x14ac:dyDescent="0.25">
      <c r="F881" t="str">
        <f>IF(E881="","",IFERROR(_xlfn.XLOOKUP(E881,Settings!$F$2:$F$38,Settings!$E$2:$E$38,""),""))</f>
        <v/>
      </c>
    </row>
    <row r="882" spans="6:6" x14ac:dyDescent="0.25">
      <c r="F882" t="str">
        <f>IF(E882="","",IFERROR(_xlfn.XLOOKUP(E882,Settings!$F$2:$F$38,Settings!$E$2:$E$38,""),""))</f>
        <v/>
      </c>
    </row>
    <row r="883" spans="6:6" x14ac:dyDescent="0.25">
      <c r="F883" t="str">
        <f>IF(E883="","",IFERROR(_xlfn.XLOOKUP(E883,Settings!$F$2:$F$38,Settings!$E$2:$E$38,""),""))</f>
        <v/>
      </c>
    </row>
    <row r="884" spans="6:6" x14ac:dyDescent="0.25">
      <c r="F884" t="str">
        <f>IF(E884="","",IFERROR(_xlfn.XLOOKUP(E884,Settings!$F$2:$F$38,Settings!$E$2:$E$38,""),""))</f>
        <v/>
      </c>
    </row>
    <row r="885" spans="6:6" x14ac:dyDescent="0.25">
      <c r="F885" t="str">
        <f>IF(E885="","",IFERROR(_xlfn.XLOOKUP(E885,Settings!$F$2:$F$38,Settings!$E$2:$E$38,""),""))</f>
        <v/>
      </c>
    </row>
    <row r="886" spans="6:6" x14ac:dyDescent="0.25">
      <c r="F886" t="str">
        <f>IF(E886="","",IFERROR(_xlfn.XLOOKUP(E886,Settings!$F$2:$F$38,Settings!$E$2:$E$38,""),""))</f>
        <v/>
      </c>
    </row>
    <row r="887" spans="6:6" x14ac:dyDescent="0.25">
      <c r="F887" t="str">
        <f>IF(E887="","",IFERROR(_xlfn.XLOOKUP(E887,Settings!$F$2:$F$38,Settings!$E$2:$E$38,""),""))</f>
        <v/>
      </c>
    </row>
    <row r="888" spans="6:6" x14ac:dyDescent="0.25">
      <c r="F888" t="str">
        <f>IF(E888="","",IFERROR(_xlfn.XLOOKUP(E888,Settings!$F$2:$F$38,Settings!$E$2:$E$38,""),""))</f>
        <v/>
      </c>
    </row>
    <row r="889" spans="6:6" x14ac:dyDescent="0.25">
      <c r="F889" t="str">
        <f>IF(E889="","",IFERROR(_xlfn.XLOOKUP(E889,Settings!$F$2:$F$38,Settings!$E$2:$E$38,""),""))</f>
        <v/>
      </c>
    </row>
    <row r="890" spans="6:6" x14ac:dyDescent="0.25">
      <c r="F890" t="str">
        <f>IF(E890="","",IFERROR(_xlfn.XLOOKUP(E890,Settings!$F$2:$F$38,Settings!$E$2:$E$38,""),""))</f>
        <v/>
      </c>
    </row>
    <row r="891" spans="6:6" x14ac:dyDescent="0.25">
      <c r="F891" t="str">
        <f>IF(E891="","",IFERROR(_xlfn.XLOOKUP(E891,Settings!$F$2:$F$38,Settings!$E$2:$E$38,""),""))</f>
        <v/>
      </c>
    </row>
    <row r="892" spans="6:6" x14ac:dyDescent="0.25">
      <c r="F892" t="str">
        <f>IF(E892="","",IFERROR(_xlfn.XLOOKUP(E892,Settings!$F$2:$F$38,Settings!$E$2:$E$38,""),""))</f>
        <v/>
      </c>
    </row>
    <row r="893" spans="6:6" x14ac:dyDescent="0.25">
      <c r="F893" t="str">
        <f>IF(E893="","",IFERROR(_xlfn.XLOOKUP(E893,Settings!$F$2:$F$38,Settings!$E$2:$E$38,""),""))</f>
        <v/>
      </c>
    </row>
    <row r="894" spans="6:6" x14ac:dyDescent="0.25">
      <c r="F894" t="str">
        <f>IF(E894="","",IFERROR(_xlfn.XLOOKUP(E894,Settings!$F$2:$F$38,Settings!$E$2:$E$38,""),""))</f>
        <v/>
      </c>
    </row>
    <row r="895" spans="6:6" x14ac:dyDescent="0.25">
      <c r="F895" t="str">
        <f>IF(E895="","",IFERROR(_xlfn.XLOOKUP(E895,Settings!$F$2:$F$38,Settings!$E$2:$E$38,""),""))</f>
        <v/>
      </c>
    </row>
    <row r="896" spans="6:6" x14ac:dyDescent="0.25">
      <c r="F896" t="str">
        <f>IF(E896="","",IFERROR(_xlfn.XLOOKUP(E896,Settings!$F$2:$F$38,Settings!$E$2:$E$38,""),""))</f>
        <v/>
      </c>
    </row>
    <row r="897" spans="6:6" x14ac:dyDescent="0.25">
      <c r="F897" t="str">
        <f>IF(E897="","",IFERROR(_xlfn.XLOOKUP(E897,Settings!$F$2:$F$38,Settings!$E$2:$E$38,""),""))</f>
        <v/>
      </c>
    </row>
    <row r="898" spans="6:6" x14ac:dyDescent="0.25">
      <c r="F898" t="str">
        <f>IF(E898="","",IFERROR(_xlfn.XLOOKUP(E898,Settings!$F$2:$F$38,Settings!$E$2:$E$38,""),""))</f>
        <v/>
      </c>
    </row>
    <row r="899" spans="6:6" x14ac:dyDescent="0.25">
      <c r="F899" t="str">
        <f>IF(E899="","",IFERROR(_xlfn.XLOOKUP(E899,Settings!$F$2:$F$38,Settings!$E$2:$E$38,""),""))</f>
        <v/>
      </c>
    </row>
    <row r="900" spans="6:6" x14ac:dyDescent="0.25">
      <c r="F900" t="str">
        <f>IF(E900="","",IFERROR(_xlfn.XLOOKUP(E900,Settings!$F$2:$F$38,Settings!$E$2:$E$38,""),""))</f>
        <v/>
      </c>
    </row>
    <row r="901" spans="6:6" x14ac:dyDescent="0.25">
      <c r="F901" t="str">
        <f>IF(E901="","",IFERROR(_xlfn.XLOOKUP(E901,Settings!$F$2:$F$38,Settings!$E$2:$E$38,""),""))</f>
        <v/>
      </c>
    </row>
    <row r="902" spans="6:6" x14ac:dyDescent="0.25">
      <c r="F902" t="str">
        <f>IF(E902="","",IFERROR(_xlfn.XLOOKUP(E902,Settings!$F$2:$F$38,Settings!$E$2:$E$38,""),""))</f>
        <v/>
      </c>
    </row>
    <row r="903" spans="6:6" x14ac:dyDescent="0.25">
      <c r="F903" t="str">
        <f>IF(E903="","",IFERROR(_xlfn.XLOOKUP(E903,Settings!$F$2:$F$38,Settings!$E$2:$E$38,""),""))</f>
        <v/>
      </c>
    </row>
    <row r="904" spans="6:6" x14ac:dyDescent="0.25">
      <c r="F904" t="str">
        <f>IF(E904="","",IFERROR(_xlfn.XLOOKUP(E904,Settings!$F$2:$F$38,Settings!$E$2:$E$38,""),""))</f>
        <v/>
      </c>
    </row>
    <row r="905" spans="6:6" x14ac:dyDescent="0.25">
      <c r="F905" t="str">
        <f>IF(E905="","",IFERROR(_xlfn.XLOOKUP(E905,Settings!$F$2:$F$38,Settings!$E$2:$E$38,""),""))</f>
        <v/>
      </c>
    </row>
    <row r="906" spans="6:6" x14ac:dyDescent="0.25">
      <c r="F906" t="str">
        <f>IF(E906="","",IFERROR(_xlfn.XLOOKUP(E906,Settings!$F$2:$F$38,Settings!$E$2:$E$38,""),""))</f>
        <v/>
      </c>
    </row>
    <row r="907" spans="6:6" x14ac:dyDescent="0.25">
      <c r="F907" t="str">
        <f>IF(E907="","",IFERROR(_xlfn.XLOOKUP(E907,Settings!$F$2:$F$38,Settings!$E$2:$E$38,""),""))</f>
        <v/>
      </c>
    </row>
    <row r="908" spans="6:6" x14ac:dyDescent="0.25">
      <c r="F908" t="str">
        <f>IF(E908="","",IFERROR(_xlfn.XLOOKUP(E908,Settings!$F$2:$F$38,Settings!$E$2:$E$38,""),""))</f>
        <v/>
      </c>
    </row>
    <row r="909" spans="6:6" x14ac:dyDescent="0.25">
      <c r="F909" t="str">
        <f>IF(E909="","",IFERROR(_xlfn.XLOOKUP(E909,Settings!$F$2:$F$38,Settings!$E$2:$E$38,""),""))</f>
        <v/>
      </c>
    </row>
    <row r="910" spans="6:6" x14ac:dyDescent="0.25">
      <c r="F910" t="str">
        <f>IF(E910="","",IFERROR(_xlfn.XLOOKUP(E910,Settings!$F$2:$F$38,Settings!$E$2:$E$38,""),""))</f>
        <v/>
      </c>
    </row>
    <row r="911" spans="6:6" x14ac:dyDescent="0.25">
      <c r="F911" t="str">
        <f>IF(E911="","",IFERROR(_xlfn.XLOOKUP(E911,Settings!$F$2:$F$38,Settings!$E$2:$E$38,""),""))</f>
        <v/>
      </c>
    </row>
    <row r="912" spans="6:6" x14ac:dyDescent="0.25">
      <c r="F912" t="str">
        <f>IF(E912="","",IFERROR(_xlfn.XLOOKUP(E912,Settings!$F$2:$F$38,Settings!$E$2:$E$38,""),""))</f>
        <v/>
      </c>
    </row>
    <row r="913" spans="6:6" x14ac:dyDescent="0.25">
      <c r="F913" t="str">
        <f>IF(E913="","",IFERROR(_xlfn.XLOOKUP(E913,Settings!$F$2:$F$38,Settings!$E$2:$E$38,""),""))</f>
        <v/>
      </c>
    </row>
    <row r="914" spans="6:6" x14ac:dyDescent="0.25">
      <c r="F914" t="str">
        <f>IF(E914="","",IFERROR(_xlfn.XLOOKUP(E914,Settings!$F$2:$F$38,Settings!$E$2:$E$38,""),""))</f>
        <v/>
      </c>
    </row>
    <row r="915" spans="6:6" x14ac:dyDescent="0.25">
      <c r="F915" t="str">
        <f>IF(E915="","",IFERROR(_xlfn.XLOOKUP(E915,Settings!$F$2:$F$38,Settings!$E$2:$E$38,""),""))</f>
        <v/>
      </c>
    </row>
    <row r="916" spans="6:6" x14ac:dyDescent="0.25">
      <c r="F916" t="str">
        <f>IF(E916="","",IFERROR(_xlfn.XLOOKUP(E916,Settings!$F$2:$F$38,Settings!$E$2:$E$38,""),""))</f>
        <v/>
      </c>
    </row>
    <row r="917" spans="6:6" x14ac:dyDescent="0.25">
      <c r="F917" t="str">
        <f>IF(E917="","",IFERROR(_xlfn.XLOOKUP(E917,Settings!$F$2:$F$38,Settings!$E$2:$E$38,""),""))</f>
        <v/>
      </c>
    </row>
    <row r="918" spans="6:6" x14ac:dyDescent="0.25">
      <c r="F918" t="str">
        <f>IF(E918="","",IFERROR(_xlfn.XLOOKUP(E918,Settings!$F$2:$F$38,Settings!$E$2:$E$38,""),""))</f>
        <v/>
      </c>
    </row>
    <row r="919" spans="6:6" x14ac:dyDescent="0.25">
      <c r="F919" t="str">
        <f>IF(E919="","",IFERROR(_xlfn.XLOOKUP(E919,Settings!$F$2:$F$38,Settings!$E$2:$E$38,""),""))</f>
        <v/>
      </c>
    </row>
    <row r="920" spans="6:6" x14ac:dyDescent="0.25">
      <c r="F920" t="str">
        <f>IF(E920="","",IFERROR(_xlfn.XLOOKUP(E920,Settings!$F$2:$F$38,Settings!$E$2:$E$38,""),""))</f>
        <v/>
      </c>
    </row>
    <row r="921" spans="6:6" x14ac:dyDescent="0.25">
      <c r="F921" t="str">
        <f>IF(E921="","",IFERROR(_xlfn.XLOOKUP(E921,Settings!$F$2:$F$38,Settings!$E$2:$E$38,""),""))</f>
        <v/>
      </c>
    </row>
    <row r="922" spans="6:6" x14ac:dyDescent="0.25">
      <c r="F922" t="str">
        <f>IF(E922="","",IFERROR(_xlfn.XLOOKUP(E922,Settings!$F$2:$F$38,Settings!$E$2:$E$38,""),""))</f>
        <v/>
      </c>
    </row>
    <row r="923" spans="6:6" x14ac:dyDescent="0.25">
      <c r="F923" t="str">
        <f>IF(E923="","",IFERROR(_xlfn.XLOOKUP(E923,Settings!$F$2:$F$38,Settings!$E$2:$E$38,""),""))</f>
        <v/>
      </c>
    </row>
    <row r="924" spans="6:6" x14ac:dyDescent="0.25">
      <c r="F924" t="str">
        <f>IF(E924="","",IFERROR(_xlfn.XLOOKUP(E924,Settings!$F$2:$F$38,Settings!$E$2:$E$38,""),""))</f>
        <v/>
      </c>
    </row>
    <row r="925" spans="6:6" x14ac:dyDescent="0.25">
      <c r="F925" t="str">
        <f>IF(E925="","",IFERROR(_xlfn.XLOOKUP(E925,Settings!$F$2:$F$38,Settings!$E$2:$E$38,""),""))</f>
        <v/>
      </c>
    </row>
    <row r="926" spans="6:6" x14ac:dyDescent="0.25">
      <c r="F926" t="str">
        <f>IF(E926="","",IFERROR(_xlfn.XLOOKUP(E926,Settings!$F$2:$F$38,Settings!$E$2:$E$38,""),""))</f>
        <v/>
      </c>
    </row>
    <row r="927" spans="6:6" x14ac:dyDescent="0.25">
      <c r="F927" t="str">
        <f>IF(E927="","",IFERROR(_xlfn.XLOOKUP(E927,Settings!$F$2:$F$38,Settings!$E$2:$E$38,""),""))</f>
        <v/>
      </c>
    </row>
    <row r="928" spans="6:6" x14ac:dyDescent="0.25">
      <c r="F928" t="str">
        <f>IF(E928="","",IFERROR(_xlfn.XLOOKUP(E928,Settings!$F$2:$F$38,Settings!$E$2:$E$38,""),""))</f>
        <v/>
      </c>
    </row>
    <row r="929" spans="6:6" x14ac:dyDescent="0.25">
      <c r="F929" t="str">
        <f>IF(E929="","",IFERROR(_xlfn.XLOOKUP(E929,Settings!$F$2:$F$38,Settings!$E$2:$E$38,""),""))</f>
        <v/>
      </c>
    </row>
    <row r="930" spans="6:6" x14ac:dyDescent="0.25">
      <c r="F930" t="str">
        <f>IF(E930="","",IFERROR(_xlfn.XLOOKUP(E930,Settings!$F$2:$F$38,Settings!$E$2:$E$38,""),""))</f>
        <v/>
      </c>
    </row>
    <row r="931" spans="6:6" x14ac:dyDescent="0.25">
      <c r="F931" t="str">
        <f>IF(E931="","",IFERROR(_xlfn.XLOOKUP(E931,Settings!$F$2:$F$38,Settings!$E$2:$E$38,""),""))</f>
        <v/>
      </c>
    </row>
    <row r="932" spans="6:6" x14ac:dyDescent="0.25">
      <c r="F932" t="str">
        <f>IF(E932="","",IFERROR(_xlfn.XLOOKUP(E932,Settings!$F$2:$F$38,Settings!$E$2:$E$38,""),""))</f>
        <v/>
      </c>
    </row>
    <row r="933" spans="6:6" x14ac:dyDescent="0.25">
      <c r="F933" t="str">
        <f>IF(E933="","",IFERROR(_xlfn.XLOOKUP(E933,Settings!$F$2:$F$38,Settings!$E$2:$E$38,""),""))</f>
        <v/>
      </c>
    </row>
    <row r="934" spans="6:6" x14ac:dyDescent="0.25">
      <c r="F934" t="str">
        <f>IF(E934="","",IFERROR(_xlfn.XLOOKUP(E934,Settings!$F$2:$F$38,Settings!$E$2:$E$38,""),""))</f>
        <v/>
      </c>
    </row>
    <row r="935" spans="6:6" x14ac:dyDescent="0.25">
      <c r="F935" t="str">
        <f>IF(E935="","",IFERROR(_xlfn.XLOOKUP(E935,Settings!$F$2:$F$38,Settings!$E$2:$E$38,""),""))</f>
        <v/>
      </c>
    </row>
    <row r="936" spans="6:6" x14ac:dyDescent="0.25">
      <c r="F936" t="str">
        <f>IF(E936="","",IFERROR(_xlfn.XLOOKUP(E936,Settings!$F$2:$F$38,Settings!$E$2:$E$38,""),""))</f>
        <v/>
      </c>
    </row>
    <row r="937" spans="6:6" x14ac:dyDescent="0.25">
      <c r="F937" t="str">
        <f>IF(E937="","",IFERROR(_xlfn.XLOOKUP(E937,Settings!$F$2:$F$38,Settings!$E$2:$E$38,""),""))</f>
        <v/>
      </c>
    </row>
    <row r="938" spans="6:6" x14ac:dyDescent="0.25">
      <c r="F938" t="str">
        <f>IF(E938="","",IFERROR(_xlfn.XLOOKUP(E938,Settings!$F$2:$F$38,Settings!$E$2:$E$38,""),""))</f>
        <v/>
      </c>
    </row>
    <row r="939" spans="6:6" x14ac:dyDescent="0.25">
      <c r="F939" t="str">
        <f>IF(E939="","",IFERROR(_xlfn.XLOOKUP(E939,Settings!$F$2:$F$38,Settings!$E$2:$E$38,""),""))</f>
        <v/>
      </c>
    </row>
    <row r="940" spans="6:6" x14ac:dyDescent="0.25">
      <c r="F940" t="str">
        <f>IF(E940="","",IFERROR(_xlfn.XLOOKUP(E940,Settings!$F$2:$F$38,Settings!$E$2:$E$38,""),""))</f>
        <v/>
      </c>
    </row>
    <row r="941" spans="6:6" x14ac:dyDescent="0.25">
      <c r="F941" t="str">
        <f>IF(E941="","",IFERROR(_xlfn.XLOOKUP(E941,Settings!$F$2:$F$38,Settings!$E$2:$E$38,""),""))</f>
        <v/>
      </c>
    </row>
    <row r="942" spans="6:6" x14ac:dyDescent="0.25">
      <c r="F942" t="str">
        <f>IF(E942="","",IFERROR(_xlfn.XLOOKUP(E942,Settings!$F$2:$F$38,Settings!$E$2:$E$38,""),""))</f>
        <v/>
      </c>
    </row>
    <row r="943" spans="6:6" x14ac:dyDescent="0.25">
      <c r="F943" t="str">
        <f>IF(E943="","",IFERROR(_xlfn.XLOOKUP(E943,Settings!$F$2:$F$38,Settings!$E$2:$E$38,""),""))</f>
        <v/>
      </c>
    </row>
    <row r="944" spans="6:6" x14ac:dyDescent="0.25">
      <c r="F944" t="str">
        <f>IF(E944="","",IFERROR(_xlfn.XLOOKUP(E944,Settings!$F$2:$F$38,Settings!$E$2:$E$38,""),""))</f>
        <v/>
      </c>
    </row>
    <row r="945" spans="6:6" x14ac:dyDescent="0.25">
      <c r="F945" t="str">
        <f>IF(E945="","",IFERROR(_xlfn.XLOOKUP(E945,Settings!$F$2:$F$38,Settings!$E$2:$E$38,""),""))</f>
        <v/>
      </c>
    </row>
    <row r="946" spans="6:6" x14ac:dyDescent="0.25">
      <c r="F946" t="str">
        <f>IF(E946="","",IFERROR(_xlfn.XLOOKUP(E946,Settings!$F$2:$F$38,Settings!$E$2:$E$38,""),""))</f>
        <v/>
      </c>
    </row>
    <row r="947" spans="6:6" x14ac:dyDescent="0.25">
      <c r="F947" t="str">
        <f>IF(E947="","",IFERROR(_xlfn.XLOOKUP(E947,Settings!$F$2:$F$38,Settings!$E$2:$E$38,""),""))</f>
        <v/>
      </c>
    </row>
    <row r="948" spans="6:6" x14ac:dyDescent="0.25">
      <c r="F948" t="str">
        <f>IF(E948="","",IFERROR(_xlfn.XLOOKUP(E948,Settings!$F$2:$F$38,Settings!$E$2:$E$38,""),""))</f>
        <v/>
      </c>
    </row>
    <row r="949" spans="6:6" x14ac:dyDescent="0.25">
      <c r="F949" t="str">
        <f>IF(E949="","",IFERROR(_xlfn.XLOOKUP(E949,Settings!$F$2:$F$38,Settings!$E$2:$E$38,""),""))</f>
        <v/>
      </c>
    </row>
    <row r="950" spans="6:6" x14ac:dyDescent="0.25">
      <c r="F950" t="str">
        <f>IF(E950="","",IFERROR(_xlfn.XLOOKUP(E950,Settings!$F$2:$F$38,Settings!$E$2:$E$38,""),""))</f>
        <v/>
      </c>
    </row>
    <row r="951" spans="6:6" x14ac:dyDescent="0.25">
      <c r="F951" t="str">
        <f>IF(E951="","",IFERROR(_xlfn.XLOOKUP(E951,Settings!$F$2:$F$38,Settings!$E$2:$E$38,""),""))</f>
        <v/>
      </c>
    </row>
    <row r="952" spans="6:6" x14ac:dyDescent="0.25">
      <c r="F952" t="str">
        <f>IF(E952="","",IFERROR(_xlfn.XLOOKUP(E952,Settings!$F$2:$F$38,Settings!$E$2:$E$38,""),""))</f>
        <v/>
      </c>
    </row>
    <row r="953" spans="6:6" x14ac:dyDescent="0.25">
      <c r="F953" t="str">
        <f>IF(E953="","",IFERROR(_xlfn.XLOOKUP(E953,Settings!$F$2:$F$38,Settings!$E$2:$E$38,""),""))</f>
        <v/>
      </c>
    </row>
    <row r="954" spans="6:6" x14ac:dyDescent="0.25">
      <c r="F954" t="str">
        <f>IF(E954="","",IFERROR(_xlfn.XLOOKUP(E954,Settings!$F$2:$F$38,Settings!$E$2:$E$38,""),""))</f>
        <v/>
      </c>
    </row>
    <row r="955" spans="6:6" x14ac:dyDescent="0.25">
      <c r="F955" t="str">
        <f>IF(E955="","",IFERROR(_xlfn.XLOOKUP(E955,Settings!$F$2:$F$38,Settings!$E$2:$E$38,""),""))</f>
        <v/>
      </c>
    </row>
    <row r="956" spans="6:6" x14ac:dyDescent="0.25">
      <c r="F956" t="str">
        <f>IF(E956="","",IFERROR(_xlfn.XLOOKUP(E956,Settings!$F$2:$F$38,Settings!$E$2:$E$38,""),""))</f>
        <v/>
      </c>
    </row>
    <row r="957" spans="6:6" x14ac:dyDescent="0.25">
      <c r="F957" t="str">
        <f>IF(E957="","",IFERROR(_xlfn.XLOOKUP(E957,Settings!$F$2:$F$38,Settings!$E$2:$E$38,""),""))</f>
        <v/>
      </c>
    </row>
    <row r="958" spans="6:6" x14ac:dyDescent="0.25">
      <c r="F958" t="str">
        <f>IF(E958="","",IFERROR(_xlfn.XLOOKUP(E958,Settings!$F$2:$F$38,Settings!$E$2:$E$38,""),""))</f>
        <v/>
      </c>
    </row>
    <row r="959" spans="6:6" x14ac:dyDescent="0.25">
      <c r="F959" t="str">
        <f>IF(E959="","",IFERROR(_xlfn.XLOOKUP(E959,Settings!$F$2:$F$38,Settings!$E$2:$E$38,""),""))</f>
        <v/>
      </c>
    </row>
    <row r="960" spans="6:6" x14ac:dyDescent="0.25">
      <c r="F960" t="str">
        <f>IF(E960="","",IFERROR(_xlfn.XLOOKUP(E960,Settings!$F$2:$F$38,Settings!$E$2:$E$38,""),""))</f>
        <v/>
      </c>
    </row>
    <row r="961" spans="6:6" x14ac:dyDescent="0.25">
      <c r="F961" t="str">
        <f>IF(E961="","",IFERROR(_xlfn.XLOOKUP(E961,Settings!$F$2:$F$38,Settings!$E$2:$E$38,""),""))</f>
        <v/>
      </c>
    </row>
    <row r="962" spans="6:6" x14ac:dyDescent="0.25">
      <c r="F962" t="str">
        <f>IF(E962="","",IFERROR(_xlfn.XLOOKUP(E962,Settings!$F$2:$F$38,Settings!$E$2:$E$38,""),""))</f>
        <v/>
      </c>
    </row>
    <row r="963" spans="6:6" x14ac:dyDescent="0.25">
      <c r="F963" t="str">
        <f>IF(E963="","",IFERROR(_xlfn.XLOOKUP(E963,Settings!$F$2:$F$38,Settings!$E$2:$E$38,""),""))</f>
        <v/>
      </c>
    </row>
    <row r="964" spans="6:6" x14ac:dyDescent="0.25">
      <c r="F964" t="str">
        <f>IF(E964="","",IFERROR(_xlfn.XLOOKUP(E964,Settings!$F$2:$F$38,Settings!$E$2:$E$38,""),""))</f>
        <v/>
      </c>
    </row>
    <row r="965" spans="6:6" x14ac:dyDescent="0.25">
      <c r="F965" t="str">
        <f>IF(E965="","",IFERROR(_xlfn.XLOOKUP(E965,Settings!$F$2:$F$38,Settings!$E$2:$E$38,""),""))</f>
        <v/>
      </c>
    </row>
    <row r="966" spans="6:6" x14ac:dyDescent="0.25">
      <c r="F966" t="str">
        <f>IF(E966="","",IFERROR(_xlfn.XLOOKUP(E966,Settings!$F$2:$F$38,Settings!$E$2:$E$38,""),""))</f>
        <v/>
      </c>
    </row>
    <row r="967" spans="6:6" x14ac:dyDescent="0.25">
      <c r="F967" t="str">
        <f>IF(E967="","",IFERROR(_xlfn.XLOOKUP(E967,Settings!$F$2:$F$38,Settings!$E$2:$E$38,""),""))</f>
        <v/>
      </c>
    </row>
    <row r="968" spans="6:6" x14ac:dyDescent="0.25">
      <c r="F968" t="str">
        <f>IF(E968="","",IFERROR(_xlfn.XLOOKUP(E968,Settings!$F$2:$F$38,Settings!$E$2:$E$38,""),""))</f>
        <v/>
      </c>
    </row>
    <row r="969" spans="6:6" x14ac:dyDescent="0.25">
      <c r="F969" t="str">
        <f>IF(E969="","",IFERROR(_xlfn.XLOOKUP(E969,Settings!$F$2:$F$38,Settings!$E$2:$E$38,""),""))</f>
        <v/>
      </c>
    </row>
    <row r="970" spans="6:6" x14ac:dyDescent="0.25">
      <c r="F970" t="str">
        <f>IF(E970="","",IFERROR(_xlfn.XLOOKUP(E970,Settings!$F$2:$F$38,Settings!$E$2:$E$38,""),""))</f>
        <v/>
      </c>
    </row>
    <row r="971" spans="6:6" x14ac:dyDescent="0.25">
      <c r="F971" t="str">
        <f>IF(E971="","",IFERROR(_xlfn.XLOOKUP(E971,Settings!$F$2:$F$38,Settings!$E$2:$E$38,""),""))</f>
        <v/>
      </c>
    </row>
    <row r="972" spans="6:6" x14ac:dyDescent="0.25">
      <c r="F972" t="str">
        <f>IF(E972="","",IFERROR(_xlfn.XLOOKUP(E972,Settings!$F$2:$F$38,Settings!$E$2:$E$38,""),""))</f>
        <v/>
      </c>
    </row>
    <row r="973" spans="6:6" x14ac:dyDescent="0.25">
      <c r="F973" t="str">
        <f>IF(E973="","",IFERROR(_xlfn.XLOOKUP(E973,Settings!$F$2:$F$38,Settings!$E$2:$E$38,""),""))</f>
        <v/>
      </c>
    </row>
    <row r="974" spans="6:6" x14ac:dyDescent="0.25">
      <c r="F974" t="str">
        <f>IF(E974="","",IFERROR(_xlfn.XLOOKUP(E974,Settings!$F$2:$F$38,Settings!$E$2:$E$38,""),""))</f>
        <v/>
      </c>
    </row>
    <row r="975" spans="6:6" x14ac:dyDescent="0.25">
      <c r="F975" t="str">
        <f>IF(E975="","",IFERROR(_xlfn.XLOOKUP(E975,Settings!$F$2:$F$38,Settings!$E$2:$E$38,""),""))</f>
        <v/>
      </c>
    </row>
    <row r="976" spans="6:6" x14ac:dyDescent="0.25">
      <c r="F976" t="str">
        <f>IF(E976="","",IFERROR(_xlfn.XLOOKUP(E976,Settings!$F$2:$F$38,Settings!$E$2:$E$38,""),""))</f>
        <v/>
      </c>
    </row>
    <row r="977" spans="6:6" x14ac:dyDescent="0.25">
      <c r="F977" t="str">
        <f>IF(E977="","",IFERROR(_xlfn.XLOOKUP(E977,Settings!$F$2:$F$38,Settings!$E$2:$E$38,""),""))</f>
        <v/>
      </c>
    </row>
    <row r="978" spans="6:6" x14ac:dyDescent="0.25">
      <c r="F978" t="str">
        <f>IF(E978="","",IFERROR(_xlfn.XLOOKUP(E978,Settings!$F$2:$F$38,Settings!$E$2:$E$38,""),""))</f>
        <v/>
      </c>
    </row>
    <row r="979" spans="6:6" x14ac:dyDescent="0.25">
      <c r="F979" t="str">
        <f>IF(E979="","",IFERROR(_xlfn.XLOOKUP(E979,Settings!$F$2:$F$38,Settings!$E$2:$E$38,""),""))</f>
        <v/>
      </c>
    </row>
    <row r="980" spans="6:6" x14ac:dyDescent="0.25">
      <c r="F980" t="str">
        <f>IF(E980="","",IFERROR(_xlfn.XLOOKUP(E980,Settings!$F$2:$F$38,Settings!$E$2:$E$38,""),""))</f>
        <v/>
      </c>
    </row>
    <row r="981" spans="6:6" x14ac:dyDescent="0.25">
      <c r="F981" t="str">
        <f>IF(E981="","",IFERROR(_xlfn.XLOOKUP(E981,Settings!$F$2:$F$38,Settings!$E$2:$E$38,""),""))</f>
        <v/>
      </c>
    </row>
    <row r="982" spans="6:6" x14ac:dyDescent="0.25">
      <c r="F982" t="str">
        <f>IF(E982="","",IFERROR(_xlfn.XLOOKUP(E982,Settings!$F$2:$F$38,Settings!$E$2:$E$38,""),""))</f>
        <v/>
      </c>
    </row>
    <row r="983" spans="6:6" x14ac:dyDescent="0.25">
      <c r="F983" t="str">
        <f>IF(E983="","",IFERROR(_xlfn.XLOOKUP(E983,Settings!$F$2:$F$38,Settings!$E$2:$E$38,""),""))</f>
        <v/>
      </c>
    </row>
  </sheetData>
  <conditionalFormatting sqref="F2:F983">
    <cfRule type="containsText" dxfId="11" priority="1" operator="containsText" text="COGS">
      <formula>NOT(ISERROR(SEARCH("COGS",F2)))</formula>
    </cfRule>
    <cfRule type="containsText" dxfId="10" priority="2" operator="containsText" text="Operating">
      <formula>NOT(ISERROR(SEARCH("Operating",F2)))</formula>
    </cfRule>
    <cfRule type="containsText" dxfId="9" priority="3" operator="containsText" text="Payroll">
      <formula>NOT(ISERROR(SEARCH("Payroll",F2)))</formula>
    </cfRule>
    <cfRule type="containsText" dxfId="8" priority="4" operator="containsText" text="Financial">
      <formula>NOT(ISERROR(SEARCH("Financial",F2)))</formula>
    </cfRule>
    <cfRule type="containsText" dxfId="7" priority="5" operator="containsText" text="Taxes">
      <formula>NOT(ISERROR(SEARCH("Taxes",F2)))</formula>
    </cfRule>
    <cfRule type="containsText" dxfId="6" priority="6" operator="containsText" text="Non-Deductible">
      <formula>NOT(ISERROR(SEARCH("Non-Deductible",F2)))</formula>
    </cfRule>
  </conditionalFormatting>
  <dataValidations count="4">
    <dataValidation type="list" allowBlank="1" showInputMessage="1" showErrorMessage="1" sqref="G984:G1483" xr:uid="{767B8C41-CAF7-4925-804C-B38C816CA70D}">
      <formula1>"Cash,Check,Bank Transfer,Credit Card,ACH,Wire Transfer,PayPal,Petty Cash,Other"</formula1>
    </dataValidation>
    <dataValidation type="list" allowBlank="1" showInputMessage="1" showErrorMessage="1" sqref="H2:H500 H502:H1483" xr:uid="{CF55F430-5EED-4FA0-992B-99B59F92E343}">
      <formula1>"Paid,Pending,Partial,Overdue,Cancelled"</formula1>
    </dataValidation>
    <dataValidation type="list" allowBlank="1" showInputMessage="1" showErrorMessage="1" sqref="G2:G500 G502:G983" xr:uid="{29654057-48E5-4DEE-AB14-000A86EFD9EF}">
      <formula1>"Cash,Check,ACH,Wire Transfer,Debit Card,Credit Card,PayPal,Venmo,Zelle,Cash App,Other"</formula1>
    </dataValidation>
    <dataValidation type="list" errorStyle="warning" allowBlank="1" showInputMessage="1" showErrorMessage="1" errorTitle="Categoría no válida" error="Por favor selecciona una categoría del Chart of Accounts" sqref="E502:E983" xr:uid="{D4ADCBD9-C96F-4EDF-9A79-CD3BB64C7F88}">
      <formula1>"Settings!$F$2:$F$36"</formula1>
    </dataValidation>
  </dataValidations>
  <printOptions horizontalCentered="1"/>
  <pageMargins left="0.25" right="0.25" top="0.75" bottom="0.75" header="0.3" footer="0.3"/>
  <pageSetup scale="10" orientation="landscape" r:id="rId1"/>
  <headerFooter scaleWithDoc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1B63F7-C560-4FF9-83BA-AEECB4B37ED8}">
          <x14:formula1>
            <xm:f>Settings!$C$2:$C$100</xm:f>
          </x14:formula1>
          <xm:sqref>D984:D1483</xm:sqref>
        </x14:dataValidation>
        <x14:dataValidation type="list" allowBlank="1" showInputMessage="1" showErrorMessage="1" xr:uid="{638A0430-901E-4861-8620-BCD12BD4176A}">
          <x14:formula1>
            <xm:f>Settings!$C$2:$C$50</xm:f>
          </x14:formula1>
          <xm:sqref>D2:D500 D502:D983</xm:sqref>
        </x14:dataValidation>
        <x14:dataValidation type="list" allowBlank="1" showInputMessage="1" showErrorMessage="1" errorTitle="Invalid Category" error="Please select a category from the Chart of Accounts list." xr:uid="{2E944EE7-CE80-4CD3-97DB-418EAEE6E12D}">
          <x14:formula1>
            <xm:f>Settings!$F$2:$F$34</xm:f>
          </x14:formula1>
          <xm:sqref>E984:F1483</xm:sqref>
        </x14:dataValidation>
        <x14:dataValidation type="list" allowBlank="1" showInputMessage="1" showErrorMessage="1" xr:uid="{2E1EF7D4-1B64-47CB-B034-E63A43D3CD74}">
          <x14:formula1>
            <xm:f>Settings!$F$2:$F$38</xm:f>
          </x14:formula1>
          <xm:sqref>F502:F983</xm:sqref>
        </x14:dataValidation>
        <x14:dataValidation type="list" errorStyle="warning" allowBlank="1" showInputMessage="1" showErrorMessage="1" errorTitle="Categoría no válida" error="Por favor selecciona una categoría del Chart of Accounts" xr:uid="{8A9B39F4-65D5-4805-A12D-70BC9142F611}">
          <x14:formula1>
            <xm:f>Settings!$F$2:$F$36</xm:f>
          </x14:formula1>
          <xm:sqref>E2:E500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E7CAF-9AC0-4D84-A0E0-E4CC6577BE5E}">
  <dimension ref="A1:N45"/>
  <sheetViews>
    <sheetView workbookViewId="0">
      <selection activeCell="N38" sqref="N38:N39"/>
    </sheetView>
  </sheetViews>
  <sheetFormatPr baseColWidth="10" defaultRowHeight="15" x14ac:dyDescent="0.25"/>
  <cols>
    <col min="1" max="1" width="38.140625" customWidth="1"/>
    <col min="2" max="14" width="16.140625" customWidth="1"/>
  </cols>
  <sheetData>
    <row r="1" spans="1:14" ht="21" x14ac:dyDescent="0.35">
      <c r="A1" s="9" t="s">
        <v>37</v>
      </c>
    </row>
    <row r="2" spans="1:14" ht="15.75" x14ac:dyDescent="0.25">
      <c r="A2" s="10" t="s">
        <v>38</v>
      </c>
    </row>
    <row r="3" spans="1:14" x14ac:dyDescent="0.25">
      <c r="A3" s="8"/>
    </row>
    <row r="4" spans="1:14" x14ac:dyDescent="0.25">
      <c r="A4" s="11" t="s">
        <v>36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  <c r="K4" s="11" t="s">
        <v>48</v>
      </c>
      <c r="L4" s="11" t="s">
        <v>49</v>
      </c>
      <c r="M4" s="11" t="s">
        <v>50</v>
      </c>
      <c r="N4" s="11" t="s">
        <v>51</v>
      </c>
    </row>
    <row r="5" spans="1:14" x14ac:dyDescent="0.25">
      <c r="A5" s="12" t="s">
        <v>52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</row>
    <row r="6" spans="1:14" x14ac:dyDescent="0.25">
      <c r="A6" s="8" t="s">
        <v>53</v>
      </c>
      <c r="B6" s="7">
        <f>SUMIFS(TablaIngresos[Amount],TablaIngresos[Category],$A6,TablaIngresos[INCOME STATEMENT - REVENUE SECTION],"&gt;="&amp;DATE(2026,1,1),TablaIngresos[INCOME STATEMENT - REVENUE SECTION],"&lt;"&amp;DATE(2026,2,1))</f>
        <v>0</v>
      </c>
      <c r="C6" s="7">
        <f>SUMIFS(TablaIngresos[Amount],TablaIngresos[Category],$A6,TablaIngresos[INCOME STATEMENT - REVENUE SECTION],"&gt;="&amp;DATE(2026,2,1),TablaIngresos[INCOME STATEMENT - REVENUE SECTION],"&lt;"&amp;DATE(2026,3,1))</f>
        <v>0</v>
      </c>
      <c r="D6" s="7">
        <f>SUMIFS(TablaIngresos[Amount],TablaIngresos[Category],$A6,TablaIngresos[INCOME STATEMENT - REVENUE SECTION],"&gt;="&amp;DATE(2026,3,1),TablaIngresos[INCOME STATEMENT - REVENUE SECTION],"&lt;"&amp;DATE(2026,4,1))</f>
        <v>0</v>
      </c>
      <c r="E6" s="7">
        <f>SUMIFS(TablaIngresos[Amount],TablaIngresos[Category],$A6,TablaIngresos[INCOME STATEMENT - REVENUE SECTION],"&gt;="&amp;DATE(2026,4,1),TablaIngresos[INCOME STATEMENT - REVENUE SECTION],"&lt;"&amp;DATE(2026,5,1))</f>
        <v>0</v>
      </c>
      <c r="F6" s="7">
        <f>SUMIFS(TablaIngresos[Amount],TablaIngresos[Category],$A6,TablaIngresos[INCOME STATEMENT - REVENUE SECTION],"&gt;="&amp;DATE(2026,5,1),TablaIngresos[INCOME STATEMENT - REVENUE SECTION],"&lt;"&amp;DATE(2026,6,1))</f>
        <v>0</v>
      </c>
      <c r="G6" s="7">
        <f>SUMIFS(TablaIngresos[Amount],TablaIngresos[Category],$A6,TablaIngresos[INCOME STATEMENT - REVENUE SECTION],"&gt;="&amp;DATE(2026,6,1),TablaIngresos[INCOME STATEMENT - REVENUE SECTION],"&lt;"&amp;DATE(2026,7,1))</f>
        <v>0</v>
      </c>
      <c r="H6" s="7">
        <f>SUMIFS(TablaIngresos[Amount],TablaIngresos[Category],$A6,TablaIngresos[INCOME STATEMENT - REVENUE SECTION],"&gt;="&amp;DATE(2026,7,1),TablaIngresos[INCOME STATEMENT - REVENUE SECTION],"&lt;"&amp;DATE(2026,8,1))</f>
        <v>0</v>
      </c>
      <c r="I6" s="7">
        <f>SUMIFS(TablaIngresos[Amount],TablaIngresos[Category],$A6,TablaIngresos[INCOME STATEMENT - REVENUE SECTION],"&gt;="&amp;DATE(2026,8,1),TablaIngresos[INCOME STATEMENT - REVENUE SECTION],"&lt;"&amp;DATE(2026,9,1))</f>
        <v>0</v>
      </c>
      <c r="J6" s="7">
        <f>SUMIFS(TablaIngresos[Amount],TablaIngresos[Category],$A6,TablaIngresos[INCOME STATEMENT - REVENUE SECTION],"&gt;="&amp;DATE(2026,9,1),TablaIngresos[INCOME STATEMENT - REVENUE SECTION],"&lt;"&amp;DATE(2026,10,1))</f>
        <v>0</v>
      </c>
      <c r="K6" s="7">
        <f>SUMIFS(TablaIngresos[Amount],TablaIngresos[Category],$A6,TablaIngresos[INCOME STATEMENT - REVENUE SECTION],"&gt;="&amp;DATE(2026,10,1),TablaIngresos[INCOME STATEMENT - REVENUE SECTION],"&lt;"&amp;DATE(2026,11,1))</f>
        <v>0</v>
      </c>
      <c r="L6" s="7">
        <f>SUMIFS(TablaIngresos[Amount],TablaIngresos[Category],$A6,TablaIngresos[INCOME STATEMENT - REVENUE SECTION],"&gt;="&amp;DATE(2026,11,1),TablaIngresos[INCOME STATEMENT - REVENUE SECTION],"&lt;"&amp;DATE(2026,12,1))</f>
        <v>0</v>
      </c>
      <c r="M6" s="7">
        <f>SUMIFS(TablaIngresos[Amount],TablaIngresos[Category],$A6,TablaIngresos[INCOME STATEMENT - REVENUE SECTION],"&gt;="&amp;DATE(2026,12,1),TablaIngresos[INCOME STATEMENT - REVENUE SECTION],"&lt;"&amp;DATE(2027,1,1))</f>
        <v>0</v>
      </c>
      <c r="N6" s="7">
        <f t="shared" ref="N6:N11" si="0">SUM(B6:M6)</f>
        <v>0</v>
      </c>
    </row>
    <row r="7" spans="1:14" x14ac:dyDescent="0.25">
      <c r="A7" s="8" t="s">
        <v>34</v>
      </c>
      <c r="B7" s="7">
        <f>SUMIFS(TablaIngresos[Amount],TablaIngresos[Category],$A7,TablaIngresos[INCOME STATEMENT - REVENUE SECTION],"&gt;="&amp;DATE(2026,1,1),TablaIngresos[INCOME STATEMENT - REVENUE SECTION],"&lt;"&amp;DATE(2026,2,1))</f>
        <v>0</v>
      </c>
      <c r="C7" s="7">
        <f>SUMIFS(TablaIngresos[Amount],TablaIngresos[Category],$A7,TablaIngresos[INCOME STATEMENT - REVENUE SECTION],"&gt;="&amp;DATE(2026,2,1),TablaIngresos[INCOME STATEMENT - REVENUE SECTION],"&lt;"&amp;DATE(2026,3,1))</f>
        <v>0</v>
      </c>
      <c r="D7" s="7">
        <f>SUMIFS(TablaIngresos[Amount],TablaIngresos[Category],$A7,TablaIngresos[INCOME STATEMENT - REVENUE SECTION],"&gt;="&amp;DATE(2026,3,1),TablaIngresos[INCOME STATEMENT - REVENUE SECTION],"&lt;"&amp;DATE(2026,4,1))</f>
        <v>0</v>
      </c>
      <c r="E7" s="7">
        <f>SUMIFS(TablaIngresos[Amount],TablaIngresos[Category],$A7,TablaIngresos[INCOME STATEMENT - REVENUE SECTION],"&gt;="&amp;DATE(2026,4,1),TablaIngresos[INCOME STATEMENT - REVENUE SECTION],"&lt;"&amp;DATE(2026,5,1))</f>
        <v>0</v>
      </c>
      <c r="F7" s="7">
        <f>SUMIFS(TablaIngresos[Amount],TablaIngresos[Category],$A7,TablaIngresos[INCOME STATEMENT - REVENUE SECTION],"&gt;="&amp;DATE(2026,5,1),TablaIngresos[INCOME STATEMENT - REVENUE SECTION],"&lt;"&amp;DATE(2026,6,1))</f>
        <v>0</v>
      </c>
      <c r="G7" s="7">
        <f>SUMIFS(TablaIngresos[Amount],TablaIngresos[Category],$A7,TablaIngresos[INCOME STATEMENT - REVENUE SECTION],"&gt;="&amp;DATE(2026,6,1),TablaIngresos[INCOME STATEMENT - REVENUE SECTION],"&lt;"&amp;DATE(2026,7,1))</f>
        <v>0</v>
      </c>
      <c r="H7" s="7">
        <f>SUMIFS(TablaIngresos[Amount],TablaIngresos[Category],$A7,TablaIngresos[INCOME STATEMENT - REVENUE SECTION],"&gt;="&amp;DATE(2026,7,1),TablaIngresos[INCOME STATEMENT - REVENUE SECTION],"&lt;"&amp;DATE(2026,8,1))</f>
        <v>0</v>
      </c>
      <c r="I7" s="7">
        <f>SUMIFS(TablaIngresos[Amount],TablaIngresos[Category],$A7,TablaIngresos[INCOME STATEMENT - REVENUE SECTION],"&gt;="&amp;DATE(2026,8,1),TablaIngresos[INCOME STATEMENT - REVENUE SECTION],"&lt;"&amp;DATE(2026,9,1))</f>
        <v>0</v>
      </c>
      <c r="J7" s="7">
        <f>SUMIFS(TablaIngresos[Amount],TablaIngresos[Category],$A7,TablaIngresos[INCOME STATEMENT - REVENUE SECTION],"&gt;="&amp;DATE(2026,9,1),TablaIngresos[INCOME STATEMENT - REVENUE SECTION],"&lt;"&amp;DATE(2026,10,1))</f>
        <v>0</v>
      </c>
      <c r="K7" s="7">
        <f>SUMIFS(TablaIngresos[Amount],TablaIngresos[Category],$A7,TablaIngresos[INCOME STATEMENT - REVENUE SECTION],"&gt;="&amp;DATE(2026,10,1),TablaIngresos[INCOME STATEMENT - REVENUE SECTION],"&lt;"&amp;DATE(2026,11,1))</f>
        <v>0</v>
      </c>
      <c r="L7" s="7">
        <f>SUMIFS(TablaIngresos[Amount],TablaIngresos[Category],$A7,TablaIngresos[INCOME STATEMENT - REVENUE SECTION],"&gt;="&amp;DATE(2026,11,1),TablaIngresos[INCOME STATEMENT - REVENUE SECTION],"&lt;"&amp;DATE(2026,12,1))</f>
        <v>0</v>
      </c>
      <c r="M7" s="7">
        <f>SUMIFS(TablaIngresos[Amount],TablaIngresos[Category],$A7,TablaIngresos[INCOME STATEMENT - REVENUE SECTION],"&gt;="&amp;DATE(2026,12,1),TablaIngresos[INCOME STATEMENT - REVENUE SECTION],"&lt;"&amp;DATE(2027,1,1))</f>
        <v>0</v>
      </c>
      <c r="N7" s="7">
        <f t="shared" si="0"/>
        <v>0</v>
      </c>
    </row>
    <row r="8" spans="1:14" x14ac:dyDescent="0.25">
      <c r="A8" s="8" t="s">
        <v>55</v>
      </c>
      <c r="B8" s="7">
        <f>SUMIFS(TablaIngresos[Amount],TablaIngresos[Category],$A8,TablaIngresos[INCOME STATEMENT - REVENUE SECTION],"&gt;="&amp;DATE(2026,1,1),TablaIngresos[INCOME STATEMENT - REVENUE SECTION],"&lt;"&amp;DATE(2026,2,1))</f>
        <v>0</v>
      </c>
      <c r="C8" s="7">
        <f>SUMIFS(TablaIngresos[Amount],TablaIngresos[Category],$A8,TablaIngresos[INCOME STATEMENT - REVENUE SECTION],"&gt;="&amp;DATE(2026,2,1),TablaIngresos[INCOME STATEMENT - REVENUE SECTION],"&lt;"&amp;DATE(2026,3,1))</f>
        <v>0</v>
      </c>
      <c r="D8" s="7">
        <f>SUMIFS(TablaIngresos[Amount],TablaIngresos[Category],$A8,TablaIngresos[INCOME STATEMENT - REVENUE SECTION],"&gt;="&amp;DATE(2026,3,1),TablaIngresos[INCOME STATEMENT - REVENUE SECTION],"&lt;"&amp;DATE(2026,4,1))</f>
        <v>0</v>
      </c>
      <c r="E8" s="7">
        <f>SUMIFS(TablaIngresos[Amount],TablaIngresos[Category],$A8,TablaIngresos[INCOME STATEMENT - REVENUE SECTION],"&gt;="&amp;DATE(2026,4,1),TablaIngresos[INCOME STATEMENT - REVENUE SECTION],"&lt;"&amp;DATE(2026,5,1))</f>
        <v>0</v>
      </c>
      <c r="F8" s="7">
        <f>SUMIFS(TablaIngresos[Amount],TablaIngresos[Category],$A8,TablaIngresos[INCOME STATEMENT - REVENUE SECTION],"&gt;="&amp;DATE(2026,5,1),TablaIngresos[INCOME STATEMENT - REVENUE SECTION],"&lt;"&amp;DATE(2026,6,1))</f>
        <v>0</v>
      </c>
      <c r="G8" s="7">
        <f>SUMIFS(TablaIngresos[Amount],TablaIngresos[Category],$A8,TablaIngresos[INCOME STATEMENT - REVENUE SECTION],"&gt;="&amp;DATE(2026,6,1),TablaIngresos[INCOME STATEMENT - REVENUE SECTION],"&lt;"&amp;DATE(2026,7,1))</f>
        <v>0</v>
      </c>
      <c r="H8" s="7">
        <f>SUMIFS(TablaIngresos[Amount],TablaIngresos[Category],$A8,TablaIngresos[INCOME STATEMENT - REVENUE SECTION],"&gt;="&amp;DATE(2026,7,1),TablaIngresos[INCOME STATEMENT - REVENUE SECTION],"&lt;"&amp;DATE(2026,8,1))</f>
        <v>0</v>
      </c>
      <c r="I8" s="7">
        <f>SUMIFS(TablaIngresos[Amount],TablaIngresos[Category],$A8,TablaIngresos[INCOME STATEMENT - REVENUE SECTION],"&gt;="&amp;DATE(2026,8,1),TablaIngresos[INCOME STATEMENT - REVENUE SECTION],"&lt;"&amp;DATE(2026,9,1))</f>
        <v>0</v>
      </c>
      <c r="J8" s="7">
        <f>SUMIFS(TablaIngresos[Amount],TablaIngresos[Category],$A8,TablaIngresos[INCOME STATEMENT - REVENUE SECTION],"&gt;="&amp;DATE(2026,9,1),TablaIngresos[INCOME STATEMENT - REVENUE SECTION],"&lt;"&amp;DATE(2026,10,1))</f>
        <v>0</v>
      </c>
      <c r="K8" s="7">
        <f>SUMIFS(TablaIngresos[Amount],TablaIngresos[Category],$A8,TablaIngresos[INCOME STATEMENT - REVENUE SECTION],"&gt;="&amp;DATE(2026,10,1),TablaIngresos[INCOME STATEMENT - REVENUE SECTION],"&lt;"&amp;DATE(2026,11,1))</f>
        <v>0</v>
      </c>
      <c r="L8" s="7">
        <f>SUMIFS(TablaIngresos[Amount],TablaIngresos[Category],$A8,TablaIngresos[INCOME STATEMENT - REVENUE SECTION],"&gt;="&amp;DATE(2026,11,1),TablaIngresos[INCOME STATEMENT - REVENUE SECTION],"&lt;"&amp;DATE(2026,12,1))</f>
        <v>0</v>
      </c>
      <c r="M8" s="7">
        <f>SUMIFS(TablaIngresos[Amount],TablaIngresos[Category],$A8,TablaIngresos[INCOME STATEMENT - REVENUE SECTION],"&gt;="&amp;DATE(2026,12,1),TablaIngresos[INCOME STATEMENT - REVENUE SECTION],"&lt;"&amp;DATE(2027,1,1))</f>
        <v>0</v>
      </c>
      <c r="N8" s="7">
        <f t="shared" si="0"/>
        <v>0</v>
      </c>
    </row>
    <row r="9" spans="1:14" x14ac:dyDescent="0.25">
      <c r="A9" s="8" t="s">
        <v>56</v>
      </c>
      <c r="B9" s="7">
        <f>SUMIFS(TablaIngresos[Amount],TablaIngresos[Category],$A9,TablaIngresos[INCOME STATEMENT - REVENUE SECTION],"&gt;="&amp;DATE(2026,1,1),TablaIngresos[INCOME STATEMENT - REVENUE SECTION],"&lt;"&amp;DATE(2026,2,1))</f>
        <v>0</v>
      </c>
      <c r="C9" s="7">
        <f>SUMIFS(TablaIngresos[Amount],TablaIngresos[Category],$A9,TablaIngresos[INCOME STATEMENT - REVENUE SECTION],"&gt;="&amp;DATE(2026,2,1),TablaIngresos[INCOME STATEMENT - REVENUE SECTION],"&lt;"&amp;DATE(2026,3,1))</f>
        <v>0</v>
      </c>
      <c r="D9" s="7">
        <f>SUMIFS(TablaIngresos[Amount],TablaIngresos[Category],$A9,TablaIngresos[INCOME STATEMENT - REVENUE SECTION],"&gt;="&amp;DATE(2026,3,1),TablaIngresos[INCOME STATEMENT - REVENUE SECTION],"&lt;"&amp;DATE(2026,4,1))</f>
        <v>0</v>
      </c>
      <c r="E9" s="7">
        <f>SUMIFS(TablaIngresos[Amount],TablaIngresos[Category],$A9,TablaIngresos[INCOME STATEMENT - REVENUE SECTION],"&gt;="&amp;DATE(2026,4,1),TablaIngresos[INCOME STATEMENT - REVENUE SECTION],"&lt;"&amp;DATE(2026,5,1))</f>
        <v>0</v>
      </c>
      <c r="F9" s="7">
        <f>SUMIFS(TablaIngresos[Amount],TablaIngresos[Category],$A9,TablaIngresos[INCOME STATEMENT - REVENUE SECTION],"&gt;="&amp;DATE(2026,5,1),TablaIngresos[INCOME STATEMENT - REVENUE SECTION],"&lt;"&amp;DATE(2026,6,1))</f>
        <v>0</v>
      </c>
      <c r="G9" s="7">
        <f>SUMIFS(TablaIngresos[Amount],TablaIngresos[Category],$A9,TablaIngresos[INCOME STATEMENT - REVENUE SECTION],"&gt;="&amp;DATE(2026,6,1),TablaIngresos[INCOME STATEMENT - REVENUE SECTION],"&lt;"&amp;DATE(2026,7,1))</f>
        <v>0</v>
      </c>
      <c r="H9" s="7">
        <f>SUMIFS(TablaIngresos[Amount],TablaIngresos[Category],$A9,TablaIngresos[INCOME STATEMENT - REVENUE SECTION],"&gt;="&amp;DATE(2026,7,1),TablaIngresos[INCOME STATEMENT - REVENUE SECTION],"&lt;"&amp;DATE(2026,8,1))</f>
        <v>0</v>
      </c>
      <c r="I9" s="7">
        <f>SUMIFS(TablaIngresos[Amount],TablaIngresos[Category],$A9,TablaIngresos[INCOME STATEMENT - REVENUE SECTION],"&gt;="&amp;DATE(2026,8,1),TablaIngresos[INCOME STATEMENT - REVENUE SECTION],"&lt;"&amp;DATE(2026,9,1))</f>
        <v>0</v>
      </c>
      <c r="J9" s="7">
        <f>SUMIFS(TablaIngresos[Amount],TablaIngresos[Category],$A9,TablaIngresos[INCOME STATEMENT - REVENUE SECTION],"&gt;="&amp;DATE(2026,9,1),TablaIngresos[INCOME STATEMENT - REVENUE SECTION],"&lt;"&amp;DATE(2026,10,1))</f>
        <v>0</v>
      </c>
      <c r="K9" s="7">
        <f>SUMIFS(TablaIngresos[Amount],TablaIngresos[Category],$A9,TablaIngresos[INCOME STATEMENT - REVENUE SECTION],"&gt;="&amp;DATE(2026,10,1),TablaIngresos[INCOME STATEMENT - REVENUE SECTION],"&lt;"&amp;DATE(2026,11,1))</f>
        <v>0</v>
      </c>
      <c r="L9" s="7">
        <f>SUMIFS(TablaIngresos[Amount],TablaIngresos[Category],$A9,TablaIngresos[INCOME STATEMENT - REVENUE SECTION],"&gt;="&amp;DATE(2026,11,1),TablaIngresos[INCOME STATEMENT - REVENUE SECTION],"&lt;"&amp;DATE(2026,12,1))</f>
        <v>0</v>
      </c>
      <c r="M9" s="7">
        <f>SUMIFS(TablaIngresos[Amount],TablaIngresos[Category],$A9,TablaIngresos[INCOME STATEMENT - REVENUE SECTION],"&gt;="&amp;DATE(2026,12,1),TablaIngresos[INCOME STATEMENT - REVENUE SECTION],"&lt;"&amp;DATE(2027,1,1))</f>
        <v>0</v>
      </c>
      <c r="N9" s="7">
        <f t="shared" si="0"/>
        <v>0</v>
      </c>
    </row>
    <row r="10" spans="1:14" x14ac:dyDescent="0.25">
      <c r="A10" s="8" t="s">
        <v>57</v>
      </c>
      <c r="B10" s="7">
        <f>SUMIFS(TablaIngresos[Amount],TablaIngresos[Category],$A10,TablaIngresos[INCOME STATEMENT - REVENUE SECTION],"&gt;="&amp;DATE(2026,1,1),TablaIngresos[INCOME STATEMENT - REVENUE SECTION],"&lt;"&amp;DATE(2026,2,1))</f>
        <v>0</v>
      </c>
      <c r="C10" s="7">
        <f>SUMIFS(TablaIngresos[Amount],TablaIngresos[Category],$A10,TablaIngresos[INCOME STATEMENT - REVENUE SECTION],"&gt;="&amp;DATE(2026,2,1),TablaIngresos[INCOME STATEMENT - REVENUE SECTION],"&lt;"&amp;DATE(2026,3,1))</f>
        <v>0</v>
      </c>
      <c r="D10" s="7">
        <f>SUMIFS(TablaIngresos[Amount],TablaIngresos[Category],$A10,TablaIngresos[INCOME STATEMENT - REVENUE SECTION],"&gt;="&amp;DATE(2026,3,1),TablaIngresos[INCOME STATEMENT - REVENUE SECTION],"&lt;"&amp;DATE(2026,4,1))</f>
        <v>0</v>
      </c>
      <c r="E10" s="7">
        <f>SUMIFS(TablaIngresos[Amount],TablaIngresos[Category],$A10,TablaIngresos[INCOME STATEMENT - REVENUE SECTION],"&gt;="&amp;DATE(2026,4,1),TablaIngresos[INCOME STATEMENT - REVENUE SECTION],"&lt;"&amp;DATE(2026,5,1))</f>
        <v>0</v>
      </c>
      <c r="F10" s="7">
        <f>SUMIFS(TablaIngresos[Amount],TablaIngresos[Category],$A10,TablaIngresos[INCOME STATEMENT - REVENUE SECTION],"&gt;="&amp;DATE(2026,5,1),TablaIngresos[INCOME STATEMENT - REVENUE SECTION],"&lt;"&amp;DATE(2026,6,1))</f>
        <v>0</v>
      </c>
      <c r="G10" s="7">
        <f>SUMIFS(TablaIngresos[Amount],TablaIngresos[Category],$A10,TablaIngresos[INCOME STATEMENT - REVENUE SECTION],"&gt;="&amp;DATE(2026,6,1),TablaIngresos[INCOME STATEMENT - REVENUE SECTION],"&lt;"&amp;DATE(2026,7,1))</f>
        <v>0</v>
      </c>
      <c r="H10" s="7">
        <f>SUMIFS(TablaIngresos[Amount],TablaIngresos[Category],$A10,TablaIngresos[INCOME STATEMENT - REVENUE SECTION],"&gt;="&amp;DATE(2026,7,1),TablaIngresos[INCOME STATEMENT - REVENUE SECTION],"&lt;"&amp;DATE(2026,8,1))</f>
        <v>0</v>
      </c>
      <c r="I10" s="7">
        <f>SUMIFS(TablaIngresos[Amount],TablaIngresos[Category],$A10,TablaIngresos[INCOME STATEMENT - REVENUE SECTION],"&gt;="&amp;DATE(2026,8,1),TablaIngresos[INCOME STATEMENT - REVENUE SECTION],"&lt;"&amp;DATE(2026,9,1))</f>
        <v>0</v>
      </c>
      <c r="J10" s="7">
        <f>SUMIFS(TablaIngresos[Amount],TablaIngresos[Category],$A10,TablaIngresos[INCOME STATEMENT - REVENUE SECTION],"&gt;="&amp;DATE(2026,9,1),TablaIngresos[INCOME STATEMENT - REVENUE SECTION],"&lt;"&amp;DATE(2026,10,1))</f>
        <v>0</v>
      </c>
      <c r="K10" s="7">
        <f>SUMIFS(TablaIngresos[Amount],TablaIngresos[Category],$A10,TablaIngresos[INCOME STATEMENT - REVENUE SECTION],"&gt;="&amp;DATE(2026,10,1),TablaIngresos[INCOME STATEMENT - REVENUE SECTION],"&lt;"&amp;DATE(2026,11,1))</f>
        <v>0</v>
      </c>
      <c r="L10" s="7">
        <f>SUMIFS(TablaIngresos[Amount],TablaIngresos[Category],$A10,TablaIngresos[INCOME STATEMENT - REVENUE SECTION],"&gt;="&amp;DATE(2026,11,1),TablaIngresos[INCOME STATEMENT - REVENUE SECTION],"&lt;"&amp;DATE(2026,12,1))</f>
        <v>0</v>
      </c>
      <c r="M10" s="7">
        <f>SUMIFS(TablaIngresos[Amount],TablaIngresos[Category],$A10,TablaIngresos[INCOME STATEMENT - REVENUE SECTION],"&gt;="&amp;DATE(2026,12,1),TablaIngresos[INCOME STATEMENT - REVENUE SECTION],"&lt;"&amp;DATE(2027,1,1))</f>
        <v>0</v>
      </c>
      <c r="N10" s="7">
        <f t="shared" si="0"/>
        <v>0</v>
      </c>
    </row>
    <row r="11" spans="1:14" ht="15.75" thickBot="1" x14ac:dyDescent="0.3">
      <c r="A11" s="16" t="s">
        <v>58</v>
      </c>
      <c r="B11" s="17">
        <f t="shared" ref="B11:M11" si="1">SUM(B6:B10)</f>
        <v>0</v>
      </c>
      <c r="C11" s="17">
        <f t="shared" si="1"/>
        <v>0</v>
      </c>
      <c r="D11" s="17">
        <f t="shared" si="1"/>
        <v>0</v>
      </c>
      <c r="E11" s="17">
        <f t="shared" si="1"/>
        <v>0</v>
      </c>
      <c r="F11" s="17">
        <f t="shared" si="1"/>
        <v>0</v>
      </c>
      <c r="G11" s="17">
        <f t="shared" si="1"/>
        <v>0</v>
      </c>
      <c r="H11" s="17">
        <f t="shared" si="1"/>
        <v>0</v>
      </c>
      <c r="I11" s="17">
        <f t="shared" si="1"/>
        <v>0</v>
      </c>
      <c r="J11" s="17">
        <f t="shared" si="1"/>
        <v>0</v>
      </c>
      <c r="K11" s="17">
        <f t="shared" si="1"/>
        <v>0</v>
      </c>
      <c r="L11" s="17">
        <f t="shared" si="1"/>
        <v>0</v>
      </c>
      <c r="M11" s="17">
        <f t="shared" si="1"/>
        <v>0</v>
      </c>
      <c r="N11" s="17">
        <f t="shared" si="0"/>
        <v>0</v>
      </c>
    </row>
    <row r="12" spans="1:14" ht="15.75" thickTop="1" x14ac:dyDescent="0.25">
      <c r="A12" s="8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</row>
    <row r="13" spans="1:14" x14ac:dyDescent="0.25">
      <c r="A13" s="14" t="s">
        <v>59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</row>
    <row r="14" spans="1:14" x14ac:dyDescent="0.25">
      <c r="A14" s="8" t="s">
        <v>60</v>
      </c>
      <c r="B14" s="7">
        <f>SUMIFS(TablaGastos[Amount],TablaGastos[Category],$A14,TablaGastos[Date],"&gt;="&amp;DATE(2026,1,1),TablaGastos[Date],"&lt;"&amp;DATE(2026,2,1))</f>
        <v>0</v>
      </c>
      <c r="C14" s="7">
        <f>SUMIFS(TablaGastos[Amount],TablaGastos[Category],$A14,TablaGastos[Date],"&gt;="&amp;DATE(2026,2,1),TablaGastos[Date],"&lt;"&amp;DATE(2026,3,1))</f>
        <v>0</v>
      </c>
      <c r="D14" s="7">
        <f>SUMIFS(TablaGastos[Amount],TablaGastos[Category],$A14,TablaGastos[Date],"&gt;="&amp;DATE(2026,3,1),TablaGastos[Date],"&lt;"&amp;DATE(2026,4,1))</f>
        <v>0</v>
      </c>
      <c r="E14" s="7">
        <f>SUMIFS(TablaGastos[Amount],TablaGastos[Category],$A14,TablaGastos[Date],"&gt;="&amp;DATE(2026,4,1),TablaGastos[Date],"&lt;"&amp;DATE(2026,5,1))</f>
        <v>0</v>
      </c>
      <c r="F14" s="7">
        <f>SUMIFS(TablaGastos[Amount],TablaGastos[Category],$A14,TablaGastos[Date],"&gt;="&amp;DATE(2026,5,1),TablaGastos[Date],"&lt;"&amp;DATE(2026,6,1))</f>
        <v>0</v>
      </c>
      <c r="G14" s="7">
        <f>SUMIFS(TablaGastos[Amount],TablaGastos[Category],$A14,TablaGastos[Date],"&gt;="&amp;DATE(2026,6,1),TablaGastos[Date],"&lt;"&amp;DATE(2026,7,1))</f>
        <v>0</v>
      </c>
      <c r="H14" s="7">
        <f>SUMIFS(TablaGastos[Amount],TablaGastos[Category],$A14,TablaGastos[Date],"&gt;="&amp;DATE(2026,7,1),TablaGastos[Date],"&lt;"&amp;DATE(2026,8,1))</f>
        <v>0</v>
      </c>
      <c r="I14" s="7">
        <f>SUMIFS(TablaGastos[Amount],TablaGastos[Category],$A14,TablaGastos[Date],"&gt;="&amp;DATE(2026,8,1),TablaGastos[Date],"&lt;"&amp;DATE(2026,9,1))</f>
        <v>0</v>
      </c>
      <c r="J14" s="7">
        <f>SUMIFS(TablaGastos[Amount],TablaGastos[Category],$A14,TablaGastos[Date],"&gt;="&amp;DATE(2026,9,1),TablaGastos[Date],"&lt;"&amp;DATE(2026,10,1))</f>
        <v>0</v>
      </c>
      <c r="K14" s="7">
        <f>SUMIFS(TablaGastos[Amount],TablaGastos[Category],$A14,TablaGastos[Date],"&gt;="&amp;DATE(2026,10,1),TablaGastos[Date],"&lt;"&amp;DATE(2026,11,1))</f>
        <v>0</v>
      </c>
      <c r="L14" s="7">
        <f>SUMIFS(TablaGastos[Amount],TablaGastos[Category],$A14,TablaGastos[Date],"&gt;="&amp;DATE(2026,11,1),TablaGastos[Date],"&lt;"&amp;DATE(2026,12,1))</f>
        <v>0</v>
      </c>
      <c r="M14" s="7">
        <f>SUMIFS(TablaGastos[Amount],TablaGastos[Category],$A14,TablaGastos[Date],"&gt;="&amp;DATE(2026,12,1),TablaGastos[Date],"&lt;"&amp;DATE(2027,1,1))</f>
        <v>0</v>
      </c>
      <c r="N14" s="7">
        <f t="shared" ref="N14:N35" si="2">SUM(B14:M14)</f>
        <v>0</v>
      </c>
    </row>
    <row r="15" spans="1:14" x14ac:dyDescent="0.25">
      <c r="A15" s="8" t="s">
        <v>61</v>
      </c>
      <c r="B15" s="7">
        <f>SUMIFS(TablaGastos[Amount],TablaGastos[Category],$A15,TablaGastos[Date],"&gt;="&amp;DATE(2026,1,1),TablaGastos[Date],"&lt;"&amp;DATE(2026,2,1))</f>
        <v>0</v>
      </c>
      <c r="C15" s="7">
        <f>SUMIFS(TablaGastos[Amount],TablaGastos[Category],$A15,TablaGastos[Date],"&gt;="&amp;DATE(2026,2,1),TablaGastos[Date],"&lt;"&amp;DATE(2026,3,1))</f>
        <v>0</v>
      </c>
      <c r="D15" s="7">
        <f>SUMIFS(TablaGastos[Amount],TablaGastos[Category],$A15,TablaGastos[Date],"&gt;="&amp;DATE(2026,3,1),TablaGastos[Date],"&lt;"&amp;DATE(2026,4,1))</f>
        <v>0</v>
      </c>
      <c r="E15" s="7">
        <f>SUMIFS(TablaGastos[Amount],TablaGastos[Category],$A15,TablaGastos[Date],"&gt;="&amp;DATE(2026,4,1),TablaGastos[Date],"&lt;"&amp;DATE(2026,5,1))</f>
        <v>0</v>
      </c>
      <c r="F15" s="7">
        <f>SUMIFS(TablaGastos[Amount],TablaGastos[Category],$A15,TablaGastos[Date],"&gt;="&amp;DATE(2026,5,1),TablaGastos[Date],"&lt;"&amp;DATE(2026,6,1))</f>
        <v>0</v>
      </c>
      <c r="G15" s="7">
        <f>SUMIFS(TablaGastos[Amount],TablaGastos[Category],$A15,TablaGastos[Date],"&gt;="&amp;DATE(2026,6,1),TablaGastos[Date],"&lt;"&amp;DATE(2026,7,1))</f>
        <v>0</v>
      </c>
      <c r="H15" s="7">
        <f>SUMIFS(TablaGastos[Amount],TablaGastos[Category],$A15,TablaGastos[Date],"&gt;="&amp;DATE(2026,7,1),TablaGastos[Date],"&lt;"&amp;DATE(2026,8,1))</f>
        <v>0</v>
      </c>
      <c r="I15" s="7">
        <f>SUMIFS(TablaGastos[Amount],TablaGastos[Category],$A15,TablaGastos[Date],"&gt;="&amp;DATE(2026,8,1),TablaGastos[Date],"&lt;"&amp;DATE(2026,9,1))</f>
        <v>0</v>
      </c>
      <c r="J15" s="7">
        <f>SUMIFS(TablaGastos[Amount],TablaGastos[Category],$A15,TablaGastos[Date],"&gt;="&amp;DATE(2026,9,1),TablaGastos[Date],"&lt;"&amp;DATE(2026,10,1))</f>
        <v>0</v>
      </c>
      <c r="K15" s="7">
        <f>SUMIFS(TablaGastos[Amount],TablaGastos[Category],$A15,TablaGastos[Date],"&gt;="&amp;DATE(2026,10,1),TablaGastos[Date],"&lt;"&amp;DATE(2026,11,1))</f>
        <v>0</v>
      </c>
      <c r="L15" s="7">
        <f>SUMIFS(TablaGastos[Amount],TablaGastos[Category],$A15,TablaGastos[Date],"&gt;="&amp;DATE(2026,11,1),TablaGastos[Date],"&lt;"&amp;DATE(2026,12,1))</f>
        <v>0</v>
      </c>
      <c r="M15" s="7">
        <f>SUMIFS(TablaGastos[Amount],TablaGastos[Category],$A15,TablaGastos[Date],"&gt;="&amp;DATE(2026,12,1),TablaGastos[Date],"&lt;"&amp;DATE(2027,1,1))</f>
        <v>0</v>
      </c>
      <c r="N15" s="7">
        <f t="shared" si="2"/>
        <v>0</v>
      </c>
    </row>
    <row r="16" spans="1:14" x14ac:dyDescent="0.25">
      <c r="A16" s="8" t="s">
        <v>3</v>
      </c>
      <c r="B16" s="7">
        <f>SUMIFS(TablaGastos[Amount],TablaGastos[Category],$A16,TablaGastos[Date],"&gt;="&amp;DATE(2026,1,1),TablaGastos[Date],"&lt;"&amp;DATE(2026,2,1))</f>
        <v>0</v>
      </c>
      <c r="C16" s="7">
        <f>SUMIFS(TablaGastos[Amount],TablaGastos[Category],$A16,TablaGastos[Date],"&gt;="&amp;DATE(2026,2,1),TablaGastos[Date],"&lt;"&amp;DATE(2026,3,1))</f>
        <v>0</v>
      </c>
      <c r="D16" s="7">
        <f>SUMIFS(TablaGastos[Amount],TablaGastos[Category],$A16,TablaGastos[Date],"&gt;="&amp;DATE(2026,3,1),TablaGastos[Date],"&lt;"&amp;DATE(2026,4,1))</f>
        <v>0</v>
      </c>
      <c r="E16" s="7">
        <f>SUMIFS(TablaGastos[Amount],TablaGastos[Category],$A16,TablaGastos[Date],"&gt;="&amp;DATE(2026,4,1),TablaGastos[Date],"&lt;"&amp;DATE(2026,5,1))</f>
        <v>0</v>
      </c>
      <c r="F16" s="7">
        <f>SUMIFS(TablaGastos[Amount],TablaGastos[Category],$A16,TablaGastos[Date],"&gt;="&amp;DATE(2026,5,1),TablaGastos[Date],"&lt;"&amp;DATE(2026,6,1))</f>
        <v>0</v>
      </c>
      <c r="G16" s="7">
        <f>SUMIFS(TablaGastos[Amount],TablaGastos[Category],$A16,TablaGastos[Date],"&gt;="&amp;DATE(2026,6,1),TablaGastos[Date],"&lt;"&amp;DATE(2026,7,1))</f>
        <v>0</v>
      </c>
      <c r="H16" s="7">
        <f>SUMIFS(TablaGastos[Amount],TablaGastos[Category],$A16,TablaGastos[Date],"&gt;="&amp;DATE(2026,7,1),TablaGastos[Date],"&lt;"&amp;DATE(2026,8,1))</f>
        <v>0</v>
      </c>
      <c r="I16" s="7">
        <f>SUMIFS(TablaGastos[Amount],TablaGastos[Category],$A16,TablaGastos[Date],"&gt;="&amp;DATE(2026,8,1),TablaGastos[Date],"&lt;"&amp;DATE(2026,9,1))</f>
        <v>0</v>
      </c>
      <c r="J16" s="7">
        <f>SUMIFS(TablaGastos[Amount],TablaGastos[Category],$A16,TablaGastos[Date],"&gt;="&amp;DATE(2026,9,1),TablaGastos[Date],"&lt;"&amp;DATE(2026,10,1))</f>
        <v>0</v>
      </c>
      <c r="K16" s="7">
        <f>SUMIFS(TablaGastos[Amount],TablaGastos[Category],$A16,TablaGastos[Date],"&gt;="&amp;DATE(2026,10,1),TablaGastos[Date],"&lt;"&amp;DATE(2026,11,1))</f>
        <v>0</v>
      </c>
      <c r="L16" s="7">
        <f>SUMIFS(TablaGastos[Amount],TablaGastos[Category],$A16,TablaGastos[Date],"&gt;="&amp;DATE(2026,11,1),TablaGastos[Date],"&lt;"&amp;DATE(2026,12,1))</f>
        <v>0</v>
      </c>
      <c r="M16" s="7">
        <f>SUMIFS(TablaGastos[Amount],TablaGastos[Category],$A16,TablaGastos[Date],"&gt;="&amp;DATE(2026,12,1),TablaGastos[Date],"&lt;"&amp;DATE(2027,1,1))</f>
        <v>0</v>
      </c>
      <c r="N16" s="7">
        <f t="shared" si="2"/>
        <v>0</v>
      </c>
    </row>
    <row r="17" spans="1:14" x14ac:dyDescent="0.25">
      <c r="A17" s="8" t="s">
        <v>4</v>
      </c>
      <c r="B17" s="7">
        <f>SUMIFS(TablaGastos[Amount],TablaGastos[Category],$A17,TablaGastos[Date],"&gt;="&amp;DATE(2026,1,1),TablaGastos[Date],"&lt;"&amp;DATE(2026,2,1))</f>
        <v>0</v>
      </c>
      <c r="C17" s="7">
        <f>SUMIFS(TablaGastos[Amount],TablaGastos[Category],$A17,TablaGastos[Date],"&gt;="&amp;DATE(2026,2,1),TablaGastos[Date],"&lt;"&amp;DATE(2026,3,1))</f>
        <v>0</v>
      </c>
      <c r="D17" s="7">
        <f>SUMIFS(TablaGastos[Amount],TablaGastos[Category],$A17,TablaGastos[Date],"&gt;="&amp;DATE(2026,3,1),TablaGastos[Date],"&lt;"&amp;DATE(2026,4,1))</f>
        <v>0</v>
      </c>
      <c r="E17" s="7">
        <f>SUMIFS(TablaGastos[Amount],TablaGastos[Category],$A17,TablaGastos[Date],"&gt;="&amp;DATE(2026,4,1),TablaGastos[Date],"&lt;"&amp;DATE(2026,5,1))</f>
        <v>0</v>
      </c>
      <c r="F17" s="7">
        <f>SUMIFS(TablaGastos[Amount],TablaGastos[Category],$A17,TablaGastos[Date],"&gt;="&amp;DATE(2026,5,1),TablaGastos[Date],"&lt;"&amp;DATE(2026,6,1))</f>
        <v>0</v>
      </c>
      <c r="G17" s="7">
        <f>SUMIFS(TablaGastos[Amount],TablaGastos[Category],$A17,TablaGastos[Date],"&gt;="&amp;DATE(2026,6,1),TablaGastos[Date],"&lt;"&amp;DATE(2026,7,1))</f>
        <v>0</v>
      </c>
      <c r="H17" s="7">
        <f>SUMIFS(TablaGastos[Amount],TablaGastos[Category],$A17,TablaGastos[Date],"&gt;="&amp;DATE(2026,7,1),TablaGastos[Date],"&lt;"&amp;DATE(2026,8,1))</f>
        <v>0</v>
      </c>
      <c r="I17" s="7">
        <f>SUMIFS(TablaGastos[Amount],TablaGastos[Category],$A17,TablaGastos[Date],"&gt;="&amp;DATE(2026,8,1),TablaGastos[Date],"&lt;"&amp;DATE(2026,9,1))</f>
        <v>0</v>
      </c>
      <c r="J17" s="7">
        <f>SUMIFS(TablaGastos[Amount],TablaGastos[Category],$A17,TablaGastos[Date],"&gt;="&amp;DATE(2026,9,1),TablaGastos[Date],"&lt;"&amp;DATE(2026,10,1))</f>
        <v>0</v>
      </c>
      <c r="K17" s="7">
        <f>SUMIFS(TablaGastos[Amount],TablaGastos[Category],$A17,TablaGastos[Date],"&gt;="&amp;DATE(2026,10,1),TablaGastos[Date],"&lt;"&amp;DATE(2026,11,1))</f>
        <v>0</v>
      </c>
      <c r="L17" s="7">
        <f>SUMIFS(TablaGastos[Amount],TablaGastos[Category],$A17,TablaGastos[Date],"&gt;="&amp;DATE(2026,11,1),TablaGastos[Date],"&lt;"&amp;DATE(2026,12,1))</f>
        <v>0</v>
      </c>
      <c r="M17" s="7">
        <f>SUMIFS(TablaGastos[Amount],TablaGastos[Category],$A17,TablaGastos[Date],"&gt;="&amp;DATE(2026,12,1),TablaGastos[Date],"&lt;"&amp;DATE(2027,1,1))</f>
        <v>0</v>
      </c>
      <c r="N17" s="7">
        <f t="shared" si="2"/>
        <v>0</v>
      </c>
    </row>
    <row r="18" spans="1:14" x14ac:dyDescent="0.25">
      <c r="A18" s="8" t="s">
        <v>62</v>
      </c>
      <c r="B18" s="7">
        <f>SUMIFS(TablaGastos[Amount],TablaGastos[Category],$A18,TablaGastos[Date],"&gt;="&amp;DATE(2026,1,1),TablaGastos[Date],"&lt;"&amp;DATE(2026,2,1))</f>
        <v>0</v>
      </c>
      <c r="C18" s="7">
        <f>SUMIFS(TablaGastos[Amount],TablaGastos[Category],$A18,TablaGastos[Date],"&gt;="&amp;DATE(2026,2,1),TablaGastos[Date],"&lt;"&amp;DATE(2026,3,1))</f>
        <v>0</v>
      </c>
      <c r="D18" s="7">
        <f>SUMIFS(TablaGastos[Amount],TablaGastos[Category],$A18,TablaGastos[Date],"&gt;="&amp;DATE(2026,3,1),TablaGastos[Date],"&lt;"&amp;DATE(2026,4,1))</f>
        <v>0</v>
      </c>
      <c r="E18" s="7">
        <f>SUMIFS(TablaGastos[Amount],TablaGastos[Category],$A18,TablaGastos[Date],"&gt;="&amp;DATE(2026,4,1),TablaGastos[Date],"&lt;"&amp;DATE(2026,5,1))</f>
        <v>0</v>
      </c>
      <c r="F18" s="7">
        <f>SUMIFS(TablaGastos[Amount],TablaGastos[Category],$A18,TablaGastos[Date],"&gt;="&amp;DATE(2026,5,1),TablaGastos[Date],"&lt;"&amp;DATE(2026,6,1))</f>
        <v>0</v>
      </c>
      <c r="G18" s="7">
        <f>SUMIFS(TablaGastos[Amount],TablaGastos[Category],$A18,TablaGastos[Date],"&gt;="&amp;DATE(2026,6,1),TablaGastos[Date],"&lt;"&amp;DATE(2026,7,1))</f>
        <v>0</v>
      </c>
      <c r="H18" s="7">
        <f>SUMIFS(TablaGastos[Amount],TablaGastos[Category],$A18,TablaGastos[Date],"&gt;="&amp;DATE(2026,7,1),TablaGastos[Date],"&lt;"&amp;DATE(2026,8,1))</f>
        <v>0</v>
      </c>
      <c r="I18" s="7">
        <f>SUMIFS(TablaGastos[Amount],TablaGastos[Category],$A18,TablaGastos[Date],"&gt;="&amp;DATE(2026,8,1),TablaGastos[Date],"&lt;"&amp;DATE(2026,9,1))</f>
        <v>0</v>
      </c>
      <c r="J18" s="7">
        <f>SUMIFS(TablaGastos[Amount],TablaGastos[Category],$A18,TablaGastos[Date],"&gt;="&amp;DATE(2026,9,1),TablaGastos[Date],"&lt;"&amp;DATE(2026,10,1))</f>
        <v>0</v>
      </c>
      <c r="K18" s="7">
        <f>SUMIFS(TablaGastos[Amount],TablaGastos[Category],$A18,TablaGastos[Date],"&gt;="&amp;DATE(2026,10,1),TablaGastos[Date],"&lt;"&amp;DATE(2026,11,1))</f>
        <v>0</v>
      </c>
      <c r="L18" s="7">
        <f>SUMIFS(TablaGastos[Amount],TablaGastos[Category],$A18,TablaGastos[Date],"&gt;="&amp;DATE(2026,11,1),TablaGastos[Date],"&lt;"&amp;DATE(2026,12,1))</f>
        <v>0</v>
      </c>
      <c r="M18" s="7">
        <f>SUMIFS(TablaGastos[Amount],TablaGastos[Category],$A18,TablaGastos[Date],"&gt;="&amp;DATE(2026,12,1),TablaGastos[Date],"&lt;"&amp;DATE(2027,1,1))</f>
        <v>0</v>
      </c>
      <c r="N18" s="7">
        <f t="shared" si="2"/>
        <v>0</v>
      </c>
    </row>
    <row r="19" spans="1:14" x14ac:dyDescent="0.25">
      <c r="A19" s="8" t="s">
        <v>5</v>
      </c>
      <c r="B19" s="7">
        <f>SUMIFS(TablaGastos[Amount],TablaGastos[Category],$A19,TablaGastos[Date],"&gt;="&amp;DATE(2026,1,1),TablaGastos[Date],"&lt;"&amp;DATE(2026,2,1))</f>
        <v>0</v>
      </c>
      <c r="C19" s="7">
        <f>SUMIFS(TablaGastos[Amount],TablaGastos[Category],$A19,TablaGastos[Date],"&gt;="&amp;DATE(2026,2,1),TablaGastos[Date],"&lt;"&amp;DATE(2026,3,1))</f>
        <v>0</v>
      </c>
      <c r="D19" s="7">
        <f>SUMIFS(TablaGastos[Amount],TablaGastos[Category],$A19,TablaGastos[Date],"&gt;="&amp;DATE(2026,3,1),TablaGastos[Date],"&lt;"&amp;DATE(2026,4,1))</f>
        <v>0</v>
      </c>
      <c r="E19" s="7">
        <f>SUMIFS(TablaGastos[Amount],TablaGastos[Category],$A19,TablaGastos[Date],"&gt;="&amp;DATE(2026,4,1),TablaGastos[Date],"&lt;"&amp;DATE(2026,5,1))</f>
        <v>0</v>
      </c>
      <c r="F19" s="7">
        <f>SUMIFS(TablaGastos[Amount],TablaGastos[Category],$A19,TablaGastos[Date],"&gt;="&amp;DATE(2026,5,1),TablaGastos[Date],"&lt;"&amp;DATE(2026,6,1))</f>
        <v>0</v>
      </c>
      <c r="G19" s="7">
        <f>SUMIFS(TablaGastos[Amount],TablaGastos[Category],$A19,TablaGastos[Date],"&gt;="&amp;DATE(2026,6,1),TablaGastos[Date],"&lt;"&amp;DATE(2026,7,1))</f>
        <v>0</v>
      </c>
      <c r="H19" s="7">
        <f>SUMIFS(TablaGastos[Amount],TablaGastos[Category],$A19,TablaGastos[Date],"&gt;="&amp;DATE(2026,7,1),TablaGastos[Date],"&lt;"&amp;DATE(2026,8,1))</f>
        <v>0</v>
      </c>
      <c r="I19" s="7">
        <f>SUMIFS(TablaGastos[Amount],TablaGastos[Category],$A19,TablaGastos[Date],"&gt;="&amp;DATE(2026,8,1),TablaGastos[Date],"&lt;"&amp;DATE(2026,9,1))</f>
        <v>0</v>
      </c>
      <c r="J19" s="7">
        <f>SUMIFS(TablaGastos[Amount],TablaGastos[Category],$A19,TablaGastos[Date],"&gt;="&amp;DATE(2026,9,1),TablaGastos[Date],"&lt;"&amp;DATE(2026,10,1))</f>
        <v>0</v>
      </c>
      <c r="K19" s="7">
        <f>SUMIFS(TablaGastos[Amount],TablaGastos[Category],$A19,TablaGastos[Date],"&gt;="&amp;DATE(2026,10,1),TablaGastos[Date],"&lt;"&amp;DATE(2026,11,1))</f>
        <v>0</v>
      </c>
      <c r="L19" s="7">
        <f>SUMIFS(TablaGastos[Amount],TablaGastos[Category],$A19,TablaGastos[Date],"&gt;="&amp;DATE(2026,11,1),TablaGastos[Date],"&lt;"&amp;DATE(2026,12,1))</f>
        <v>0</v>
      </c>
      <c r="M19" s="7">
        <f>SUMIFS(TablaGastos[Amount],TablaGastos[Category],$A19,TablaGastos[Date],"&gt;="&amp;DATE(2026,12,1),TablaGastos[Date],"&lt;"&amp;DATE(2027,1,1))</f>
        <v>0</v>
      </c>
      <c r="N19" s="7">
        <f t="shared" si="2"/>
        <v>0</v>
      </c>
    </row>
    <row r="20" spans="1:14" x14ac:dyDescent="0.25">
      <c r="A20" s="8" t="s">
        <v>63</v>
      </c>
      <c r="B20" s="7">
        <f>SUMIFS(TablaGastos[Amount],TablaGastos[Category],$A20,TablaGastos[Date],"&gt;="&amp;DATE(2026,1,1),TablaGastos[Date],"&lt;"&amp;DATE(2026,2,1))</f>
        <v>0</v>
      </c>
      <c r="C20" s="7">
        <f>SUMIFS(TablaGastos[Amount],TablaGastos[Category],$A20,TablaGastos[Date],"&gt;="&amp;DATE(2026,2,1),TablaGastos[Date],"&lt;"&amp;DATE(2026,3,1))</f>
        <v>0</v>
      </c>
      <c r="D20" s="7">
        <f>SUMIFS(TablaGastos[Amount],TablaGastos[Category],$A20,TablaGastos[Date],"&gt;="&amp;DATE(2026,3,1),TablaGastos[Date],"&lt;"&amp;DATE(2026,4,1))</f>
        <v>0</v>
      </c>
      <c r="E20" s="7">
        <f>SUMIFS(TablaGastos[Amount],TablaGastos[Category],$A20,TablaGastos[Date],"&gt;="&amp;DATE(2026,4,1),TablaGastos[Date],"&lt;"&amp;DATE(2026,5,1))</f>
        <v>0</v>
      </c>
      <c r="F20" s="7">
        <f>SUMIFS(TablaGastos[Amount],TablaGastos[Category],$A20,TablaGastos[Date],"&gt;="&amp;DATE(2026,5,1),TablaGastos[Date],"&lt;"&amp;DATE(2026,6,1))</f>
        <v>0</v>
      </c>
      <c r="G20" s="7">
        <f>SUMIFS(TablaGastos[Amount],TablaGastos[Category],$A20,TablaGastos[Date],"&gt;="&amp;DATE(2026,6,1),TablaGastos[Date],"&lt;"&amp;DATE(2026,7,1))</f>
        <v>0</v>
      </c>
      <c r="H20" s="7">
        <f>SUMIFS(TablaGastos[Amount],TablaGastos[Category],$A20,TablaGastos[Date],"&gt;="&amp;DATE(2026,7,1),TablaGastos[Date],"&lt;"&amp;DATE(2026,8,1))</f>
        <v>0</v>
      </c>
      <c r="I20" s="7">
        <f>SUMIFS(TablaGastos[Amount],TablaGastos[Category],$A20,TablaGastos[Date],"&gt;="&amp;DATE(2026,8,1),TablaGastos[Date],"&lt;"&amp;DATE(2026,9,1))</f>
        <v>0</v>
      </c>
      <c r="J20" s="7">
        <f>SUMIFS(TablaGastos[Amount],TablaGastos[Category],$A20,TablaGastos[Date],"&gt;="&amp;DATE(2026,9,1),TablaGastos[Date],"&lt;"&amp;DATE(2026,10,1))</f>
        <v>0</v>
      </c>
      <c r="K20" s="7">
        <f>SUMIFS(TablaGastos[Amount],TablaGastos[Category],$A20,TablaGastos[Date],"&gt;="&amp;DATE(2026,10,1),TablaGastos[Date],"&lt;"&amp;DATE(2026,11,1))</f>
        <v>0</v>
      </c>
      <c r="L20" s="7">
        <f>SUMIFS(TablaGastos[Amount],TablaGastos[Category],$A20,TablaGastos[Date],"&gt;="&amp;DATE(2026,11,1),TablaGastos[Date],"&lt;"&amp;DATE(2026,12,1))</f>
        <v>0</v>
      </c>
      <c r="M20" s="7">
        <f>SUMIFS(TablaGastos[Amount],TablaGastos[Category],$A20,TablaGastos[Date],"&gt;="&amp;DATE(2026,12,1),TablaGastos[Date],"&lt;"&amp;DATE(2027,1,1))</f>
        <v>0</v>
      </c>
      <c r="N20" s="7">
        <f t="shared" si="2"/>
        <v>0</v>
      </c>
    </row>
    <row r="21" spans="1:14" x14ac:dyDescent="0.25">
      <c r="A21" s="8" t="s">
        <v>6</v>
      </c>
      <c r="B21" s="7">
        <f>SUMIFS(TablaGastos[Amount],TablaGastos[Category],$A21,TablaGastos[Date],"&gt;="&amp;DATE(2026,1,1),TablaGastos[Date],"&lt;"&amp;DATE(2026,2,1))</f>
        <v>0</v>
      </c>
      <c r="C21" s="7">
        <f>SUMIFS(TablaGastos[Amount],TablaGastos[Category],$A21,TablaGastos[Date],"&gt;="&amp;DATE(2026,2,1),TablaGastos[Date],"&lt;"&amp;DATE(2026,3,1))</f>
        <v>0</v>
      </c>
      <c r="D21" s="7">
        <f>SUMIFS(TablaGastos[Amount],TablaGastos[Category],$A21,TablaGastos[Date],"&gt;="&amp;DATE(2026,3,1),TablaGastos[Date],"&lt;"&amp;DATE(2026,4,1))</f>
        <v>0</v>
      </c>
      <c r="E21" s="7">
        <f>SUMIFS(TablaGastos[Amount],TablaGastos[Category],$A21,TablaGastos[Date],"&gt;="&amp;DATE(2026,4,1),TablaGastos[Date],"&lt;"&amp;DATE(2026,5,1))</f>
        <v>0</v>
      </c>
      <c r="F21" s="7">
        <f>SUMIFS(TablaGastos[Amount],TablaGastos[Category],$A21,TablaGastos[Date],"&gt;="&amp;DATE(2026,5,1),TablaGastos[Date],"&lt;"&amp;DATE(2026,6,1))</f>
        <v>0</v>
      </c>
      <c r="G21" s="7">
        <f>SUMIFS(TablaGastos[Amount],TablaGastos[Category],$A21,TablaGastos[Date],"&gt;="&amp;DATE(2026,6,1),TablaGastos[Date],"&lt;"&amp;DATE(2026,7,1))</f>
        <v>0</v>
      </c>
      <c r="H21" s="7">
        <f>SUMIFS(TablaGastos[Amount],TablaGastos[Category],$A21,TablaGastos[Date],"&gt;="&amp;DATE(2026,7,1),TablaGastos[Date],"&lt;"&amp;DATE(2026,8,1))</f>
        <v>0</v>
      </c>
      <c r="I21" s="7">
        <f>SUMIFS(TablaGastos[Amount],TablaGastos[Category],$A21,TablaGastos[Date],"&gt;="&amp;DATE(2026,8,1),TablaGastos[Date],"&lt;"&amp;DATE(2026,9,1))</f>
        <v>0</v>
      </c>
      <c r="J21" s="7">
        <f>SUMIFS(TablaGastos[Amount],TablaGastos[Category],$A21,TablaGastos[Date],"&gt;="&amp;DATE(2026,9,1),TablaGastos[Date],"&lt;"&amp;DATE(2026,10,1))</f>
        <v>0</v>
      </c>
      <c r="K21" s="7">
        <f>SUMIFS(TablaGastos[Amount],TablaGastos[Category],$A21,TablaGastos[Date],"&gt;="&amp;DATE(2026,10,1),TablaGastos[Date],"&lt;"&amp;DATE(2026,11,1))</f>
        <v>0</v>
      </c>
      <c r="L21" s="7">
        <f>SUMIFS(TablaGastos[Amount],TablaGastos[Category],$A21,TablaGastos[Date],"&gt;="&amp;DATE(2026,11,1),TablaGastos[Date],"&lt;"&amp;DATE(2026,12,1))</f>
        <v>0</v>
      </c>
      <c r="M21" s="7">
        <f>SUMIFS(TablaGastos[Amount],TablaGastos[Category],$A21,TablaGastos[Date],"&gt;="&amp;DATE(2026,12,1),TablaGastos[Date],"&lt;"&amp;DATE(2027,1,1))</f>
        <v>0</v>
      </c>
      <c r="N21" s="7">
        <f t="shared" si="2"/>
        <v>0</v>
      </c>
    </row>
    <row r="22" spans="1:14" x14ac:dyDescent="0.25">
      <c r="A22" s="8" t="s">
        <v>8</v>
      </c>
      <c r="B22" s="7">
        <f>SUMIFS(TablaGastos[Amount],TablaGastos[Category],$A22,TablaGastos[Date],"&gt;="&amp;DATE(2026,1,1),TablaGastos[Date],"&lt;"&amp;DATE(2026,2,1))</f>
        <v>0</v>
      </c>
      <c r="C22" s="7">
        <f>SUMIFS(TablaGastos[Amount],TablaGastos[Category],$A22,TablaGastos[Date],"&gt;="&amp;DATE(2026,2,1),TablaGastos[Date],"&lt;"&amp;DATE(2026,3,1))</f>
        <v>0</v>
      </c>
      <c r="D22" s="7">
        <f>SUMIFS(TablaGastos[Amount],TablaGastos[Category],$A22,TablaGastos[Date],"&gt;="&amp;DATE(2026,3,1),TablaGastos[Date],"&lt;"&amp;DATE(2026,4,1))</f>
        <v>0</v>
      </c>
      <c r="E22" s="7">
        <f>SUMIFS(TablaGastos[Amount],TablaGastos[Category],$A22,TablaGastos[Date],"&gt;="&amp;DATE(2026,4,1),TablaGastos[Date],"&lt;"&amp;DATE(2026,5,1))</f>
        <v>0</v>
      </c>
      <c r="F22" s="7">
        <f>SUMIFS(TablaGastos[Amount],TablaGastos[Category],$A22,TablaGastos[Date],"&gt;="&amp;DATE(2026,5,1),TablaGastos[Date],"&lt;"&amp;DATE(2026,6,1))</f>
        <v>0</v>
      </c>
      <c r="G22" s="7">
        <f>SUMIFS(TablaGastos[Amount],TablaGastos[Category],$A22,TablaGastos[Date],"&gt;="&amp;DATE(2026,6,1),TablaGastos[Date],"&lt;"&amp;DATE(2026,7,1))</f>
        <v>0</v>
      </c>
      <c r="H22" s="7">
        <f>SUMIFS(TablaGastos[Amount],TablaGastos[Category],$A22,TablaGastos[Date],"&gt;="&amp;DATE(2026,7,1),TablaGastos[Date],"&lt;"&amp;DATE(2026,8,1))</f>
        <v>0</v>
      </c>
      <c r="I22" s="7">
        <f>SUMIFS(TablaGastos[Amount],TablaGastos[Category],$A22,TablaGastos[Date],"&gt;="&amp;DATE(2026,8,1),TablaGastos[Date],"&lt;"&amp;DATE(2026,9,1))</f>
        <v>0</v>
      </c>
      <c r="J22" s="7">
        <f>SUMIFS(TablaGastos[Amount],TablaGastos[Category],$A22,TablaGastos[Date],"&gt;="&amp;DATE(2026,9,1),TablaGastos[Date],"&lt;"&amp;DATE(2026,10,1))</f>
        <v>0</v>
      </c>
      <c r="K22" s="7">
        <f>SUMIFS(TablaGastos[Amount],TablaGastos[Category],$A22,TablaGastos[Date],"&gt;="&amp;DATE(2026,10,1),TablaGastos[Date],"&lt;"&amp;DATE(2026,11,1))</f>
        <v>0</v>
      </c>
      <c r="L22" s="7">
        <f>SUMIFS(TablaGastos[Amount],TablaGastos[Category],$A22,TablaGastos[Date],"&gt;="&amp;DATE(2026,11,1),TablaGastos[Date],"&lt;"&amp;DATE(2026,12,1))</f>
        <v>0</v>
      </c>
      <c r="M22" s="7">
        <f>SUMIFS(TablaGastos[Amount],TablaGastos[Category],$A22,TablaGastos[Date],"&gt;="&amp;DATE(2026,12,1),TablaGastos[Date],"&lt;"&amp;DATE(2027,1,1))</f>
        <v>0</v>
      </c>
      <c r="N22" s="7">
        <f t="shared" si="2"/>
        <v>0</v>
      </c>
    </row>
    <row r="23" spans="1:14" x14ac:dyDescent="0.25">
      <c r="A23" s="8" t="s">
        <v>64</v>
      </c>
      <c r="B23" s="7">
        <f>SUMIFS(TablaGastos[Amount],TablaGastos[Category],$A23,TablaGastos[Date],"&gt;="&amp;DATE(2026,1,1),TablaGastos[Date],"&lt;"&amp;DATE(2026,2,1))</f>
        <v>0</v>
      </c>
      <c r="C23" s="7">
        <f>SUMIFS(TablaGastos[Amount],TablaGastos[Category],$A23,TablaGastos[Date],"&gt;="&amp;DATE(2026,2,1),TablaGastos[Date],"&lt;"&amp;DATE(2026,3,1))</f>
        <v>0</v>
      </c>
      <c r="D23" s="7">
        <f>SUMIFS(TablaGastos[Amount],TablaGastos[Category],$A23,TablaGastos[Date],"&gt;="&amp;DATE(2026,3,1),TablaGastos[Date],"&lt;"&amp;DATE(2026,4,1))</f>
        <v>0</v>
      </c>
      <c r="E23" s="7">
        <f>SUMIFS(TablaGastos[Amount],TablaGastos[Category],$A23,TablaGastos[Date],"&gt;="&amp;DATE(2026,4,1),TablaGastos[Date],"&lt;"&amp;DATE(2026,5,1))</f>
        <v>0</v>
      </c>
      <c r="F23" s="7">
        <f>SUMIFS(TablaGastos[Amount],TablaGastos[Category],$A23,TablaGastos[Date],"&gt;="&amp;DATE(2026,5,1),TablaGastos[Date],"&lt;"&amp;DATE(2026,6,1))</f>
        <v>0</v>
      </c>
      <c r="G23" s="7">
        <f>SUMIFS(TablaGastos[Amount],TablaGastos[Category],$A23,TablaGastos[Date],"&gt;="&amp;DATE(2026,6,1),TablaGastos[Date],"&lt;"&amp;DATE(2026,7,1))</f>
        <v>0</v>
      </c>
      <c r="H23" s="7">
        <f>SUMIFS(TablaGastos[Amount],TablaGastos[Category],$A23,TablaGastos[Date],"&gt;="&amp;DATE(2026,7,1),TablaGastos[Date],"&lt;"&amp;DATE(2026,8,1))</f>
        <v>0</v>
      </c>
      <c r="I23" s="7">
        <f>SUMIFS(TablaGastos[Amount],TablaGastos[Category],$A23,TablaGastos[Date],"&gt;="&amp;DATE(2026,8,1),TablaGastos[Date],"&lt;"&amp;DATE(2026,9,1))</f>
        <v>0</v>
      </c>
      <c r="J23" s="7">
        <f>SUMIFS(TablaGastos[Amount],TablaGastos[Category],$A23,TablaGastos[Date],"&gt;="&amp;DATE(2026,9,1),TablaGastos[Date],"&lt;"&amp;DATE(2026,10,1))</f>
        <v>0</v>
      </c>
      <c r="K23" s="7">
        <f>SUMIFS(TablaGastos[Amount],TablaGastos[Category],$A23,TablaGastos[Date],"&gt;="&amp;DATE(2026,10,1),TablaGastos[Date],"&lt;"&amp;DATE(2026,11,1))</f>
        <v>0</v>
      </c>
      <c r="L23" s="7">
        <f>SUMIFS(TablaGastos[Amount],TablaGastos[Category],$A23,TablaGastos[Date],"&gt;="&amp;DATE(2026,11,1),TablaGastos[Date],"&lt;"&amp;DATE(2026,12,1))</f>
        <v>0</v>
      </c>
      <c r="M23" s="7">
        <f>SUMIFS(TablaGastos[Amount],TablaGastos[Category],$A23,TablaGastos[Date],"&gt;="&amp;DATE(2026,12,1),TablaGastos[Date],"&lt;"&amp;DATE(2027,1,1))</f>
        <v>0</v>
      </c>
      <c r="N23" s="7">
        <f t="shared" si="2"/>
        <v>0</v>
      </c>
    </row>
    <row r="24" spans="1:14" x14ac:dyDescent="0.25">
      <c r="A24" s="8" t="s">
        <v>9</v>
      </c>
      <c r="B24" s="7">
        <f>SUMIFS(TablaGastos[Amount],TablaGastos[Category],$A24,TablaGastos[Date],"&gt;="&amp;DATE(2026,1,1),TablaGastos[Date],"&lt;"&amp;DATE(2026,2,1))</f>
        <v>0</v>
      </c>
      <c r="C24" s="7">
        <f>SUMIFS(TablaGastos[Amount],TablaGastos[Category],$A24,TablaGastos[Date],"&gt;="&amp;DATE(2026,2,1),TablaGastos[Date],"&lt;"&amp;DATE(2026,3,1))</f>
        <v>0</v>
      </c>
      <c r="D24" s="7">
        <f>SUMIFS(TablaGastos[Amount],TablaGastos[Category],$A24,TablaGastos[Date],"&gt;="&amp;DATE(2026,3,1),TablaGastos[Date],"&lt;"&amp;DATE(2026,4,1))</f>
        <v>0</v>
      </c>
      <c r="E24" s="7">
        <f>SUMIFS(TablaGastos[Amount],TablaGastos[Category],$A24,TablaGastos[Date],"&gt;="&amp;DATE(2026,4,1),TablaGastos[Date],"&lt;"&amp;DATE(2026,5,1))</f>
        <v>0</v>
      </c>
      <c r="F24" s="7">
        <f>SUMIFS(TablaGastos[Amount],TablaGastos[Category],$A24,TablaGastos[Date],"&gt;="&amp;DATE(2026,5,1),TablaGastos[Date],"&lt;"&amp;DATE(2026,6,1))</f>
        <v>0</v>
      </c>
      <c r="G24" s="7">
        <f>SUMIFS(TablaGastos[Amount],TablaGastos[Category],$A24,TablaGastos[Date],"&gt;="&amp;DATE(2026,6,1),TablaGastos[Date],"&lt;"&amp;DATE(2026,7,1))</f>
        <v>0</v>
      </c>
      <c r="H24" s="7">
        <f>SUMIFS(TablaGastos[Amount],TablaGastos[Category],$A24,TablaGastos[Date],"&gt;="&amp;DATE(2026,7,1),TablaGastos[Date],"&lt;"&amp;DATE(2026,8,1))</f>
        <v>0</v>
      </c>
      <c r="I24" s="7">
        <f>SUMIFS(TablaGastos[Amount],TablaGastos[Category],$A24,TablaGastos[Date],"&gt;="&amp;DATE(2026,8,1),TablaGastos[Date],"&lt;"&amp;DATE(2026,9,1))</f>
        <v>0</v>
      </c>
      <c r="J24" s="7">
        <f>SUMIFS(TablaGastos[Amount],TablaGastos[Category],$A24,TablaGastos[Date],"&gt;="&amp;DATE(2026,9,1),TablaGastos[Date],"&lt;"&amp;DATE(2026,10,1))</f>
        <v>0</v>
      </c>
      <c r="K24" s="7">
        <f>SUMIFS(TablaGastos[Amount],TablaGastos[Category],$A24,TablaGastos[Date],"&gt;="&amp;DATE(2026,10,1),TablaGastos[Date],"&lt;"&amp;DATE(2026,11,1))</f>
        <v>0</v>
      </c>
      <c r="L24" s="7">
        <f>SUMIFS(TablaGastos[Amount],TablaGastos[Category],$A24,TablaGastos[Date],"&gt;="&amp;DATE(2026,11,1),TablaGastos[Date],"&lt;"&amp;DATE(2026,12,1))</f>
        <v>0</v>
      </c>
      <c r="M24" s="7">
        <f>SUMIFS(TablaGastos[Amount],TablaGastos[Category],$A24,TablaGastos[Date],"&gt;="&amp;DATE(2026,12,1),TablaGastos[Date],"&lt;"&amp;DATE(2027,1,1))</f>
        <v>0</v>
      </c>
      <c r="N24" s="7">
        <f t="shared" si="2"/>
        <v>0</v>
      </c>
    </row>
    <row r="25" spans="1:14" x14ac:dyDescent="0.25">
      <c r="A25" s="8" t="s">
        <v>65</v>
      </c>
      <c r="B25" s="7">
        <f>SUMIFS(TablaGastos[Amount],TablaGastos[Category],$A25,TablaGastos[Date],"&gt;="&amp;DATE(2026,1,1),TablaGastos[Date],"&lt;"&amp;DATE(2026,2,1))</f>
        <v>0</v>
      </c>
      <c r="C25" s="7">
        <f>SUMIFS(TablaGastos[Amount],TablaGastos[Category],$A25,TablaGastos[Date],"&gt;="&amp;DATE(2026,2,1),TablaGastos[Date],"&lt;"&amp;DATE(2026,3,1))</f>
        <v>0</v>
      </c>
      <c r="D25" s="7">
        <f>SUMIFS(TablaGastos[Amount],TablaGastos[Category],$A25,TablaGastos[Date],"&gt;="&amp;DATE(2026,3,1),TablaGastos[Date],"&lt;"&amp;DATE(2026,4,1))</f>
        <v>0</v>
      </c>
      <c r="E25" s="7">
        <f>SUMIFS(TablaGastos[Amount],TablaGastos[Category],$A25,TablaGastos[Date],"&gt;="&amp;DATE(2026,4,1),TablaGastos[Date],"&lt;"&amp;DATE(2026,5,1))</f>
        <v>0</v>
      </c>
      <c r="F25" s="7">
        <f>SUMIFS(TablaGastos[Amount],TablaGastos[Category],$A25,TablaGastos[Date],"&gt;="&amp;DATE(2026,5,1),TablaGastos[Date],"&lt;"&amp;DATE(2026,6,1))</f>
        <v>0</v>
      </c>
      <c r="G25" s="7">
        <f>SUMIFS(TablaGastos[Amount],TablaGastos[Category],$A25,TablaGastos[Date],"&gt;="&amp;DATE(2026,6,1),TablaGastos[Date],"&lt;"&amp;DATE(2026,7,1))</f>
        <v>0</v>
      </c>
      <c r="H25" s="7">
        <f>SUMIFS(TablaGastos[Amount],TablaGastos[Category],$A25,TablaGastos[Date],"&gt;="&amp;DATE(2026,7,1),TablaGastos[Date],"&lt;"&amp;DATE(2026,8,1))</f>
        <v>0</v>
      </c>
      <c r="I25" s="7">
        <f>SUMIFS(TablaGastos[Amount],TablaGastos[Category],$A25,TablaGastos[Date],"&gt;="&amp;DATE(2026,8,1),TablaGastos[Date],"&lt;"&amp;DATE(2026,9,1))</f>
        <v>0</v>
      </c>
      <c r="J25" s="7">
        <f>SUMIFS(TablaGastos[Amount],TablaGastos[Category],$A25,TablaGastos[Date],"&gt;="&amp;DATE(2026,9,1),TablaGastos[Date],"&lt;"&amp;DATE(2026,10,1))</f>
        <v>0</v>
      </c>
      <c r="K25" s="7">
        <f>SUMIFS(TablaGastos[Amount],TablaGastos[Category],$A25,TablaGastos[Date],"&gt;="&amp;DATE(2026,10,1),TablaGastos[Date],"&lt;"&amp;DATE(2026,11,1))</f>
        <v>0</v>
      </c>
      <c r="L25" s="7">
        <f>SUMIFS(TablaGastos[Amount],TablaGastos[Category],$A25,TablaGastos[Date],"&gt;="&amp;DATE(2026,11,1),TablaGastos[Date],"&lt;"&amp;DATE(2026,12,1))</f>
        <v>0</v>
      </c>
      <c r="M25" s="7">
        <f>SUMIFS(TablaGastos[Amount],TablaGastos[Category],$A25,TablaGastos[Date],"&gt;="&amp;DATE(2026,12,1),TablaGastos[Date],"&lt;"&amp;DATE(2027,1,1))</f>
        <v>0</v>
      </c>
      <c r="N25" s="7">
        <f t="shared" si="2"/>
        <v>0</v>
      </c>
    </row>
    <row r="26" spans="1:14" x14ac:dyDescent="0.25">
      <c r="A26" s="8" t="s">
        <v>10</v>
      </c>
      <c r="B26" s="7">
        <f>SUMIFS(TablaGastos[Amount],TablaGastos[Category],$A26,TablaGastos[Date],"&gt;="&amp;DATE(2026,1,1),TablaGastos[Date],"&lt;"&amp;DATE(2026,2,1))</f>
        <v>0</v>
      </c>
      <c r="C26" s="7">
        <f>SUMIFS(TablaGastos[Amount],TablaGastos[Category],$A26,TablaGastos[Date],"&gt;="&amp;DATE(2026,2,1),TablaGastos[Date],"&lt;"&amp;DATE(2026,3,1))</f>
        <v>0</v>
      </c>
      <c r="D26" s="7">
        <f>SUMIFS(TablaGastos[Amount],TablaGastos[Category],$A26,TablaGastos[Date],"&gt;="&amp;DATE(2026,3,1),TablaGastos[Date],"&lt;"&amp;DATE(2026,4,1))</f>
        <v>0</v>
      </c>
      <c r="E26" s="7">
        <f>SUMIFS(TablaGastos[Amount],TablaGastos[Category],$A26,TablaGastos[Date],"&gt;="&amp;DATE(2026,4,1),TablaGastos[Date],"&lt;"&amp;DATE(2026,5,1))</f>
        <v>0</v>
      </c>
      <c r="F26" s="7">
        <f>SUMIFS(TablaGastos[Amount],TablaGastos[Category],$A26,TablaGastos[Date],"&gt;="&amp;DATE(2026,5,1),TablaGastos[Date],"&lt;"&amp;DATE(2026,6,1))</f>
        <v>0</v>
      </c>
      <c r="G26" s="7">
        <f>SUMIFS(TablaGastos[Amount],TablaGastos[Category],$A26,TablaGastos[Date],"&gt;="&amp;DATE(2026,6,1),TablaGastos[Date],"&lt;"&amp;DATE(2026,7,1))</f>
        <v>0</v>
      </c>
      <c r="H26" s="7">
        <f>SUMIFS(TablaGastos[Amount],TablaGastos[Category],$A26,TablaGastos[Date],"&gt;="&amp;DATE(2026,7,1),TablaGastos[Date],"&lt;"&amp;DATE(2026,8,1))</f>
        <v>0</v>
      </c>
      <c r="I26" s="7">
        <f>SUMIFS(TablaGastos[Amount],TablaGastos[Category],$A26,TablaGastos[Date],"&gt;="&amp;DATE(2026,8,1),TablaGastos[Date],"&lt;"&amp;DATE(2026,9,1))</f>
        <v>0</v>
      </c>
      <c r="J26" s="7">
        <f>SUMIFS(TablaGastos[Amount],TablaGastos[Category],$A26,TablaGastos[Date],"&gt;="&amp;DATE(2026,9,1),TablaGastos[Date],"&lt;"&amp;DATE(2026,10,1))</f>
        <v>0</v>
      </c>
      <c r="K26" s="7">
        <f>SUMIFS(TablaGastos[Amount],TablaGastos[Category],$A26,TablaGastos[Date],"&gt;="&amp;DATE(2026,10,1),TablaGastos[Date],"&lt;"&amp;DATE(2026,11,1))</f>
        <v>0</v>
      </c>
      <c r="L26" s="7">
        <f>SUMIFS(TablaGastos[Amount],TablaGastos[Category],$A26,TablaGastos[Date],"&gt;="&amp;DATE(2026,11,1),TablaGastos[Date],"&lt;"&amp;DATE(2026,12,1))</f>
        <v>0</v>
      </c>
      <c r="M26" s="7">
        <f>SUMIFS(TablaGastos[Amount],TablaGastos[Category],$A26,TablaGastos[Date],"&gt;="&amp;DATE(2026,12,1),TablaGastos[Date],"&lt;"&amp;DATE(2027,1,1))</f>
        <v>0</v>
      </c>
      <c r="N26" s="7">
        <f t="shared" si="2"/>
        <v>0</v>
      </c>
    </row>
    <row r="27" spans="1:14" x14ac:dyDescent="0.25">
      <c r="A27" s="8" t="s">
        <v>12</v>
      </c>
      <c r="B27" s="7">
        <f>SUMIFS(TablaGastos[Amount],TablaGastos[Category],$A27,TablaGastos[Date],"&gt;="&amp;DATE(2026,1,1),TablaGastos[Date],"&lt;"&amp;DATE(2026,2,1))</f>
        <v>0</v>
      </c>
      <c r="C27" s="7">
        <f>SUMIFS(TablaGastos[Amount],TablaGastos[Category],$A27,TablaGastos[Date],"&gt;="&amp;DATE(2026,2,1),TablaGastos[Date],"&lt;"&amp;DATE(2026,3,1))</f>
        <v>0</v>
      </c>
      <c r="D27" s="7">
        <f>SUMIFS(TablaGastos[Amount],TablaGastos[Category],$A27,TablaGastos[Date],"&gt;="&amp;DATE(2026,3,1),TablaGastos[Date],"&lt;"&amp;DATE(2026,4,1))</f>
        <v>0</v>
      </c>
      <c r="E27" s="7">
        <f>SUMIFS(TablaGastos[Amount],TablaGastos[Category],$A27,TablaGastos[Date],"&gt;="&amp;DATE(2026,4,1),TablaGastos[Date],"&lt;"&amp;DATE(2026,5,1))</f>
        <v>0</v>
      </c>
      <c r="F27" s="7">
        <f>SUMIFS(TablaGastos[Amount],TablaGastos[Category],$A27,TablaGastos[Date],"&gt;="&amp;DATE(2026,5,1),TablaGastos[Date],"&lt;"&amp;DATE(2026,6,1))</f>
        <v>0</v>
      </c>
      <c r="G27" s="7">
        <f>SUMIFS(TablaGastos[Amount],TablaGastos[Category],$A27,TablaGastos[Date],"&gt;="&amp;DATE(2026,6,1),TablaGastos[Date],"&lt;"&amp;DATE(2026,7,1))</f>
        <v>0</v>
      </c>
      <c r="H27" s="7">
        <f>SUMIFS(TablaGastos[Amount],TablaGastos[Category],$A27,TablaGastos[Date],"&gt;="&amp;DATE(2026,7,1),TablaGastos[Date],"&lt;"&amp;DATE(2026,8,1))</f>
        <v>0</v>
      </c>
      <c r="I27" s="7">
        <f>SUMIFS(TablaGastos[Amount],TablaGastos[Category],$A27,TablaGastos[Date],"&gt;="&amp;DATE(2026,8,1),TablaGastos[Date],"&lt;"&amp;DATE(2026,9,1))</f>
        <v>0</v>
      </c>
      <c r="J27" s="7">
        <f>SUMIFS(TablaGastos[Amount],TablaGastos[Category],$A27,TablaGastos[Date],"&gt;="&amp;DATE(2026,9,1),TablaGastos[Date],"&lt;"&amp;DATE(2026,10,1))</f>
        <v>0</v>
      </c>
      <c r="K27" s="7">
        <f>SUMIFS(TablaGastos[Amount],TablaGastos[Category],$A27,TablaGastos[Date],"&gt;="&amp;DATE(2026,10,1),TablaGastos[Date],"&lt;"&amp;DATE(2026,11,1))</f>
        <v>0</v>
      </c>
      <c r="L27" s="7">
        <f>SUMIFS(TablaGastos[Amount],TablaGastos[Category],$A27,TablaGastos[Date],"&gt;="&amp;DATE(2026,11,1),TablaGastos[Date],"&lt;"&amp;DATE(2026,12,1))</f>
        <v>0</v>
      </c>
      <c r="M27" s="7">
        <f>SUMIFS(TablaGastos[Amount],TablaGastos[Category],$A27,TablaGastos[Date],"&gt;="&amp;DATE(2026,12,1),TablaGastos[Date],"&lt;"&amp;DATE(2027,1,1))</f>
        <v>0</v>
      </c>
      <c r="N27" s="7">
        <f t="shared" si="2"/>
        <v>0</v>
      </c>
    </row>
    <row r="28" spans="1:14" x14ac:dyDescent="0.25">
      <c r="A28" s="8" t="s">
        <v>16</v>
      </c>
      <c r="B28" s="7">
        <f>SUMIFS(TablaGastos[Amount],TablaGastos[Category],$A28,TablaGastos[Date],"&gt;="&amp;DATE(2026,1,1),TablaGastos[Date],"&lt;"&amp;DATE(2026,2,1))</f>
        <v>0</v>
      </c>
      <c r="C28" s="7">
        <f>SUMIFS(TablaGastos[Amount],TablaGastos[Category],$A28,TablaGastos[Date],"&gt;="&amp;DATE(2026,2,1),TablaGastos[Date],"&lt;"&amp;DATE(2026,3,1))</f>
        <v>0</v>
      </c>
      <c r="D28" s="7">
        <f>SUMIFS(TablaGastos[Amount],TablaGastos[Category],$A28,TablaGastos[Date],"&gt;="&amp;DATE(2026,3,1),TablaGastos[Date],"&lt;"&amp;DATE(2026,4,1))</f>
        <v>0</v>
      </c>
      <c r="E28" s="7">
        <f>SUMIFS(TablaGastos[Amount],TablaGastos[Category],$A28,TablaGastos[Date],"&gt;="&amp;DATE(2026,4,1),TablaGastos[Date],"&lt;"&amp;DATE(2026,5,1))</f>
        <v>0</v>
      </c>
      <c r="F28" s="7">
        <f>SUMIFS(TablaGastos[Amount],TablaGastos[Category],$A28,TablaGastos[Date],"&gt;="&amp;DATE(2026,5,1),TablaGastos[Date],"&lt;"&amp;DATE(2026,6,1))</f>
        <v>0</v>
      </c>
      <c r="G28" s="7">
        <f>SUMIFS(TablaGastos[Amount],TablaGastos[Category],$A28,TablaGastos[Date],"&gt;="&amp;DATE(2026,6,1),TablaGastos[Date],"&lt;"&amp;DATE(2026,7,1))</f>
        <v>0</v>
      </c>
      <c r="H28" s="7">
        <f>SUMIFS(TablaGastos[Amount],TablaGastos[Category],$A28,TablaGastos[Date],"&gt;="&amp;DATE(2026,7,1),TablaGastos[Date],"&lt;"&amp;DATE(2026,8,1))</f>
        <v>0</v>
      </c>
      <c r="I28" s="7">
        <f>SUMIFS(TablaGastos[Amount],TablaGastos[Category],$A28,TablaGastos[Date],"&gt;="&amp;DATE(2026,8,1),TablaGastos[Date],"&lt;"&amp;DATE(2026,9,1))</f>
        <v>0</v>
      </c>
      <c r="J28" s="7">
        <f>SUMIFS(TablaGastos[Amount],TablaGastos[Category],$A28,TablaGastos[Date],"&gt;="&amp;DATE(2026,9,1),TablaGastos[Date],"&lt;"&amp;DATE(2026,10,1))</f>
        <v>0</v>
      </c>
      <c r="K28" s="7">
        <f>SUMIFS(TablaGastos[Amount],TablaGastos[Category],$A28,TablaGastos[Date],"&gt;="&amp;DATE(2026,10,1),TablaGastos[Date],"&lt;"&amp;DATE(2026,11,1))</f>
        <v>0</v>
      </c>
      <c r="L28" s="7">
        <f>SUMIFS(TablaGastos[Amount],TablaGastos[Category],$A28,TablaGastos[Date],"&gt;="&amp;DATE(2026,11,1),TablaGastos[Date],"&lt;"&amp;DATE(2026,12,1))</f>
        <v>0</v>
      </c>
      <c r="M28" s="7">
        <f>SUMIFS(TablaGastos[Amount],TablaGastos[Category],$A28,TablaGastos[Date],"&gt;="&amp;DATE(2026,12,1),TablaGastos[Date],"&lt;"&amp;DATE(2027,1,1))</f>
        <v>0</v>
      </c>
      <c r="N28" s="7">
        <f t="shared" si="2"/>
        <v>0</v>
      </c>
    </row>
    <row r="29" spans="1:14" x14ac:dyDescent="0.25">
      <c r="A29" s="8" t="s">
        <v>17</v>
      </c>
      <c r="B29" s="7">
        <f>SUMIFS(TablaGastos[Amount],TablaGastos[Category],$A29,TablaGastos[Date],"&gt;="&amp;DATE(2026,1,1),TablaGastos[Date],"&lt;"&amp;DATE(2026,2,1))</f>
        <v>0</v>
      </c>
      <c r="C29" s="7">
        <f>SUMIFS(TablaGastos[Amount],TablaGastos[Category],$A29,TablaGastos[Date],"&gt;="&amp;DATE(2026,2,1),TablaGastos[Date],"&lt;"&amp;DATE(2026,3,1))</f>
        <v>0</v>
      </c>
      <c r="D29" s="7">
        <f>SUMIFS(TablaGastos[Amount],TablaGastos[Category],$A29,TablaGastos[Date],"&gt;="&amp;DATE(2026,3,1),TablaGastos[Date],"&lt;"&amp;DATE(2026,4,1))</f>
        <v>0</v>
      </c>
      <c r="E29" s="7">
        <f>SUMIFS(TablaGastos[Amount],TablaGastos[Category],$A29,TablaGastos[Date],"&gt;="&amp;DATE(2026,4,1),TablaGastos[Date],"&lt;"&amp;DATE(2026,5,1))</f>
        <v>0</v>
      </c>
      <c r="F29" s="7">
        <f>SUMIFS(TablaGastos[Amount],TablaGastos[Category],$A29,TablaGastos[Date],"&gt;="&amp;DATE(2026,5,1),TablaGastos[Date],"&lt;"&amp;DATE(2026,6,1))</f>
        <v>0</v>
      </c>
      <c r="G29" s="7">
        <f>SUMIFS(TablaGastos[Amount],TablaGastos[Category],$A29,TablaGastos[Date],"&gt;="&amp;DATE(2026,6,1),TablaGastos[Date],"&lt;"&amp;DATE(2026,7,1))</f>
        <v>0</v>
      </c>
      <c r="H29" s="7">
        <f>SUMIFS(TablaGastos[Amount],TablaGastos[Category],$A29,TablaGastos[Date],"&gt;="&amp;DATE(2026,7,1),TablaGastos[Date],"&lt;"&amp;DATE(2026,8,1))</f>
        <v>0</v>
      </c>
      <c r="I29" s="7">
        <f>SUMIFS(TablaGastos[Amount],TablaGastos[Category],$A29,TablaGastos[Date],"&gt;="&amp;DATE(2026,8,1),TablaGastos[Date],"&lt;"&amp;DATE(2026,9,1))</f>
        <v>0</v>
      </c>
      <c r="J29" s="7">
        <f>SUMIFS(TablaGastos[Amount],TablaGastos[Category],$A29,TablaGastos[Date],"&gt;="&amp;DATE(2026,9,1),TablaGastos[Date],"&lt;"&amp;DATE(2026,10,1))</f>
        <v>0</v>
      </c>
      <c r="K29" s="7">
        <f>SUMIFS(TablaGastos[Amount],TablaGastos[Category],$A29,TablaGastos[Date],"&gt;="&amp;DATE(2026,10,1),TablaGastos[Date],"&lt;"&amp;DATE(2026,11,1))</f>
        <v>0</v>
      </c>
      <c r="L29" s="7">
        <f>SUMIFS(TablaGastos[Amount],TablaGastos[Category],$A29,TablaGastos[Date],"&gt;="&amp;DATE(2026,11,1),TablaGastos[Date],"&lt;"&amp;DATE(2026,12,1))</f>
        <v>0</v>
      </c>
      <c r="M29" s="7">
        <f>SUMIFS(TablaGastos[Amount],TablaGastos[Category],$A29,TablaGastos[Date],"&gt;="&amp;DATE(2026,12,1),TablaGastos[Date],"&lt;"&amp;DATE(2027,1,1))</f>
        <v>0</v>
      </c>
      <c r="N29" s="7">
        <f t="shared" si="2"/>
        <v>0</v>
      </c>
    </row>
    <row r="30" spans="1:14" x14ac:dyDescent="0.25">
      <c r="A30" s="8" t="s">
        <v>66</v>
      </c>
      <c r="B30" s="7">
        <f>SUMIFS(TablaGastos[Amount],TablaGastos[Category],$A30,TablaGastos[Date],"&gt;="&amp;DATE(2026,1,1),TablaGastos[Date],"&lt;"&amp;DATE(2026,2,1))</f>
        <v>0</v>
      </c>
      <c r="C30" s="7">
        <f>SUMIFS(TablaGastos[Amount],TablaGastos[Category],$A30,TablaGastos[Date],"&gt;="&amp;DATE(2026,2,1),TablaGastos[Date],"&lt;"&amp;DATE(2026,3,1))</f>
        <v>0</v>
      </c>
      <c r="D30" s="7">
        <f>SUMIFS(TablaGastos[Amount],TablaGastos[Category],$A30,TablaGastos[Date],"&gt;="&amp;DATE(2026,3,1),TablaGastos[Date],"&lt;"&amp;DATE(2026,4,1))</f>
        <v>0</v>
      </c>
      <c r="E30" s="7">
        <f>SUMIFS(TablaGastos[Amount],TablaGastos[Category],$A30,TablaGastos[Date],"&gt;="&amp;DATE(2026,4,1),TablaGastos[Date],"&lt;"&amp;DATE(2026,5,1))</f>
        <v>0</v>
      </c>
      <c r="F30" s="7">
        <f>SUMIFS(TablaGastos[Amount],TablaGastos[Category],$A30,TablaGastos[Date],"&gt;="&amp;DATE(2026,5,1),TablaGastos[Date],"&lt;"&amp;DATE(2026,6,1))</f>
        <v>0</v>
      </c>
      <c r="G30" s="7">
        <f>SUMIFS(TablaGastos[Amount],TablaGastos[Category],$A30,TablaGastos[Date],"&gt;="&amp;DATE(2026,6,1),TablaGastos[Date],"&lt;"&amp;DATE(2026,7,1))</f>
        <v>0</v>
      </c>
      <c r="H30" s="7">
        <f>SUMIFS(TablaGastos[Amount],TablaGastos[Category],$A30,TablaGastos[Date],"&gt;="&amp;DATE(2026,7,1),TablaGastos[Date],"&lt;"&amp;DATE(2026,8,1))</f>
        <v>0</v>
      </c>
      <c r="I30" s="7">
        <f>SUMIFS(TablaGastos[Amount],TablaGastos[Category],$A30,TablaGastos[Date],"&gt;="&amp;DATE(2026,8,1),TablaGastos[Date],"&lt;"&amp;DATE(2026,9,1))</f>
        <v>0</v>
      </c>
      <c r="J30" s="7">
        <f>SUMIFS(TablaGastos[Amount],TablaGastos[Category],$A30,TablaGastos[Date],"&gt;="&amp;DATE(2026,9,1),TablaGastos[Date],"&lt;"&amp;DATE(2026,10,1))</f>
        <v>0</v>
      </c>
      <c r="K30" s="7">
        <f>SUMIFS(TablaGastos[Amount],TablaGastos[Category],$A30,TablaGastos[Date],"&gt;="&amp;DATE(2026,10,1),TablaGastos[Date],"&lt;"&amp;DATE(2026,11,1))</f>
        <v>0</v>
      </c>
      <c r="L30" s="7">
        <f>SUMIFS(TablaGastos[Amount],TablaGastos[Category],$A30,TablaGastos[Date],"&gt;="&amp;DATE(2026,11,1),TablaGastos[Date],"&lt;"&amp;DATE(2026,12,1))</f>
        <v>0</v>
      </c>
      <c r="M30" s="7">
        <f>SUMIFS(TablaGastos[Amount],TablaGastos[Category],$A30,TablaGastos[Date],"&gt;="&amp;DATE(2026,12,1),TablaGastos[Date],"&lt;"&amp;DATE(2027,1,1))</f>
        <v>0</v>
      </c>
      <c r="N30" s="7">
        <f t="shared" si="2"/>
        <v>0</v>
      </c>
    </row>
    <row r="31" spans="1:14" x14ac:dyDescent="0.25">
      <c r="A31" s="8" t="s">
        <v>18</v>
      </c>
      <c r="B31" s="7">
        <f>SUMIFS(TablaGastos[Amount],TablaGastos[Category],$A31,TablaGastos[Date],"&gt;="&amp;DATE(2026,1,1),TablaGastos[Date],"&lt;"&amp;DATE(2026,2,1))</f>
        <v>0</v>
      </c>
      <c r="C31" s="7">
        <f>SUMIFS(TablaGastos[Amount],TablaGastos[Category],$A31,TablaGastos[Date],"&gt;="&amp;DATE(2026,2,1),TablaGastos[Date],"&lt;"&amp;DATE(2026,3,1))</f>
        <v>0</v>
      </c>
      <c r="D31" s="7">
        <f>SUMIFS(TablaGastos[Amount],TablaGastos[Category],$A31,TablaGastos[Date],"&gt;="&amp;DATE(2026,3,1),TablaGastos[Date],"&lt;"&amp;DATE(2026,4,1))</f>
        <v>0</v>
      </c>
      <c r="E31" s="7">
        <f>SUMIFS(TablaGastos[Amount],TablaGastos[Category],$A31,TablaGastos[Date],"&gt;="&amp;DATE(2026,4,1),TablaGastos[Date],"&lt;"&amp;DATE(2026,5,1))</f>
        <v>0</v>
      </c>
      <c r="F31" s="7">
        <f>SUMIFS(TablaGastos[Amount],TablaGastos[Category],$A31,TablaGastos[Date],"&gt;="&amp;DATE(2026,5,1),TablaGastos[Date],"&lt;"&amp;DATE(2026,6,1))</f>
        <v>0</v>
      </c>
      <c r="G31" s="7">
        <f>SUMIFS(TablaGastos[Amount],TablaGastos[Category],$A31,TablaGastos[Date],"&gt;="&amp;DATE(2026,6,1),TablaGastos[Date],"&lt;"&amp;DATE(2026,7,1))</f>
        <v>0</v>
      </c>
      <c r="H31" s="7">
        <f>SUMIFS(TablaGastos[Amount],TablaGastos[Category],$A31,TablaGastos[Date],"&gt;="&amp;DATE(2026,7,1),TablaGastos[Date],"&lt;"&amp;DATE(2026,8,1))</f>
        <v>0</v>
      </c>
      <c r="I31" s="7">
        <f>SUMIFS(TablaGastos[Amount],TablaGastos[Category],$A31,TablaGastos[Date],"&gt;="&amp;DATE(2026,8,1),TablaGastos[Date],"&lt;"&amp;DATE(2026,9,1))</f>
        <v>0</v>
      </c>
      <c r="J31" s="7">
        <f>SUMIFS(TablaGastos[Amount],TablaGastos[Category],$A31,TablaGastos[Date],"&gt;="&amp;DATE(2026,9,1),TablaGastos[Date],"&lt;"&amp;DATE(2026,10,1))</f>
        <v>0</v>
      </c>
      <c r="K31" s="7">
        <f>SUMIFS(TablaGastos[Amount],TablaGastos[Category],$A31,TablaGastos[Date],"&gt;="&amp;DATE(2026,10,1),TablaGastos[Date],"&lt;"&amp;DATE(2026,11,1))</f>
        <v>0</v>
      </c>
      <c r="L31" s="7">
        <f>SUMIFS(TablaGastos[Amount],TablaGastos[Category],$A31,TablaGastos[Date],"&gt;="&amp;DATE(2026,11,1),TablaGastos[Date],"&lt;"&amp;DATE(2026,12,1))</f>
        <v>0</v>
      </c>
      <c r="M31" s="7">
        <f>SUMIFS(TablaGastos[Amount],TablaGastos[Category],$A31,TablaGastos[Date],"&gt;="&amp;DATE(2026,12,1),TablaGastos[Date],"&lt;"&amp;DATE(2027,1,1))</f>
        <v>0</v>
      </c>
      <c r="N31" s="7">
        <f t="shared" si="2"/>
        <v>0</v>
      </c>
    </row>
    <row r="32" spans="1:14" x14ac:dyDescent="0.25">
      <c r="A32" s="8" t="s">
        <v>67</v>
      </c>
      <c r="B32" s="7">
        <f>SUMIFS(TablaGastos[Amount],TablaGastos[Category],$A32,TablaGastos[Date],"&gt;="&amp;DATE(2026,1,1),TablaGastos[Date],"&lt;"&amp;DATE(2026,2,1))</f>
        <v>0</v>
      </c>
      <c r="C32" s="7">
        <f>SUMIFS(TablaGastos[Amount],TablaGastos[Category],$A32,TablaGastos[Date],"&gt;="&amp;DATE(2026,2,1),TablaGastos[Date],"&lt;"&amp;DATE(2026,3,1))</f>
        <v>0</v>
      </c>
      <c r="D32" s="7">
        <f>SUMIFS(TablaGastos[Amount],TablaGastos[Category],$A32,TablaGastos[Date],"&gt;="&amp;DATE(2026,3,1),TablaGastos[Date],"&lt;"&amp;DATE(2026,4,1))</f>
        <v>0</v>
      </c>
      <c r="E32" s="7">
        <f>SUMIFS(TablaGastos[Amount],TablaGastos[Category],$A32,TablaGastos[Date],"&gt;="&amp;DATE(2026,4,1),TablaGastos[Date],"&lt;"&amp;DATE(2026,5,1))</f>
        <v>0</v>
      </c>
      <c r="F32" s="7">
        <f>SUMIFS(TablaGastos[Amount],TablaGastos[Category],$A32,TablaGastos[Date],"&gt;="&amp;DATE(2026,5,1),TablaGastos[Date],"&lt;"&amp;DATE(2026,6,1))</f>
        <v>0</v>
      </c>
      <c r="G32" s="7">
        <f>SUMIFS(TablaGastos[Amount],TablaGastos[Category],$A32,TablaGastos[Date],"&gt;="&amp;DATE(2026,6,1),TablaGastos[Date],"&lt;"&amp;DATE(2026,7,1))</f>
        <v>0</v>
      </c>
      <c r="H32" s="7">
        <f>SUMIFS(TablaGastos[Amount],TablaGastos[Category],$A32,TablaGastos[Date],"&gt;="&amp;DATE(2026,7,1),TablaGastos[Date],"&lt;"&amp;DATE(2026,8,1))</f>
        <v>0</v>
      </c>
      <c r="I32" s="7">
        <f>SUMIFS(TablaGastos[Amount],TablaGastos[Category],$A32,TablaGastos[Date],"&gt;="&amp;DATE(2026,8,1),TablaGastos[Date],"&lt;"&amp;DATE(2026,9,1))</f>
        <v>0</v>
      </c>
      <c r="J32" s="7">
        <f>SUMIFS(TablaGastos[Amount],TablaGastos[Category],$A32,TablaGastos[Date],"&gt;="&amp;DATE(2026,9,1),TablaGastos[Date],"&lt;"&amp;DATE(2026,10,1))</f>
        <v>0</v>
      </c>
      <c r="K32" s="7">
        <f>SUMIFS(TablaGastos[Amount],TablaGastos[Category],$A32,TablaGastos[Date],"&gt;="&amp;DATE(2026,10,1),TablaGastos[Date],"&lt;"&amp;DATE(2026,11,1))</f>
        <v>0</v>
      </c>
      <c r="L32" s="7">
        <f>SUMIFS(TablaGastos[Amount],TablaGastos[Category],$A32,TablaGastos[Date],"&gt;="&amp;DATE(2026,11,1),TablaGastos[Date],"&lt;"&amp;DATE(2026,12,1))</f>
        <v>0</v>
      </c>
      <c r="M32" s="7">
        <f>SUMIFS(TablaGastos[Amount],TablaGastos[Category],$A32,TablaGastos[Date],"&gt;="&amp;DATE(2026,12,1),TablaGastos[Date],"&lt;"&amp;DATE(2027,1,1))</f>
        <v>0</v>
      </c>
      <c r="N32" s="7">
        <f t="shared" si="2"/>
        <v>0</v>
      </c>
    </row>
    <row r="33" spans="1:14" x14ac:dyDescent="0.25">
      <c r="A33" s="8" t="s">
        <v>19</v>
      </c>
      <c r="B33" s="7">
        <f>SUMIFS(TablaGastos[Amount],TablaGastos[Category],$A33,TablaGastos[Date],"&gt;="&amp;DATE(2026,1,1),TablaGastos[Date],"&lt;"&amp;DATE(2026,2,1))</f>
        <v>0</v>
      </c>
      <c r="C33" s="7">
        <f>SUMIFS(TablaGastos[Amount],TablaGastos[Category],$A33,TablaGastos[Date],"&gt;="&amp;DATE(2026,2,1),TablaGastos[Date],"&lt;"&amp;DATE(2026,3,1))</f>
        <v>0</v>
      </c>
      <c r="D33" s="7">
        <f>SUMIFS(TablaGastos[Amount],TablaGastos[Category],$A33,TablaGastos[Date],"&gt;="&amp;DATE(2026,3,1),TablaGastos[Date],"&lt;"&amp;DATE(2026,4,1))</f>
        <v>0</v>
      </c>
      <c r="E33" s="7">
        <f>SUMIFS(TablaGastos[Amount],TablaGastos[Category],$A33,TablaGastos[Date],"&gt;="&amp;DATE(2026,4,1),TablaGastos[Date],"&lt;"&amp;DATE(2026,5,1))</f>
        <v>0</v>
      </c>
      <c r="F33" s="7">
        <f>SUMIFS(TablaGastos[Amount],TablaGastos[Category],$A33,TablaGastos[Date],"&gt;="&amp;DATE(2026,5,1),TablaGastos[Date],"&lt;"&amp;DATE(2026,6,1))</f>
        <v>0</v>
      </c>
      <c r="G33" s="7">
        <f>SUMIFS(TablaGastos[Amount],TablaGastos[Category],$A33,TablaGastos[Date],"&gt;="&amp;DATE(2026,6,1),TablaGastos[Date],"&lt;"&amp;DATE(2026,7,1))</f>
        <v>0</v>
      </c>
      <c r="H33" s="7">
        <f>SUMIFS(TablaGastos[Amount],TablaGastos[Category],$A33,TablaGastos[Date],"&gt;="&amp;DATE(2026,7,1),TablaGastos[Date],"&lt;"&amp;DATE(2026,8,1))</f>
        <v>0</v>
      </c>
      <c r="I33" s="7">
        <f>SUMIFS(TablaGastos[Amount],TablaGastos[Category],$A33,TablaGastos[Date],"&gt;="&amp;DATE(2026,8,1),TablaGastos[Date],"&lt;"&amp;DATE(2026,9,1))</f>
        <v>0</v>
      </c>
      <c r="J33" s="7">
        <f>SUMIFS(TablaGastos[Amount],TablaGastos[Category],$A33,TablaGastos[Date],"&gt;="&amp;DATE(2026,9,1),TablaGastos[Date],"&lt;"&amp;DATE(2026,10,1))</f>
        <v>0</v>
      </c>
      <c r="K33" s="7">
        <f>SUMIFS(TablaGastos[Amount],TablaGastos[Category],$A33,TablaGastos[Date],"&gt;="&amp;DATE(2026,10,1),TablaGastos[Date],"&lt;"&amp;DATE(2026,11,1))</f>
        <v>0</v>
      </c>
      <c r="L33" s="7">
        <f>SUMIFS(TablaGastos[Amount],TablaGastos[Category],$A33,TablaGastos[Date],"&gt;="&amp;DATE(2026,11,1),TablaGastos[Date],"&lt;"&amp;DATE(2026,12,1))</f>
        <v>0</v>
      </c>
      <c r="M33" s="7">
        <f>SUMIFS(TablaGastos[Amount],TablaGastos[Category],$A33,TablaGastos[Date],"&gt;="&amp;DATE(2026,12,1),TablaGastos[Date],"&lt;"&amp;DATE(2027,1,1))</f>
        <v>0</v>
      </c>
      <c r="N33" s="7">
        <f t="shared" si="2"/>
        <v>0</v>
      </c>
    </row>
    <row r="34" spans="1:14" x14ac:dyDescent="0.25">
      <c r="A34" s="8" t="s">
        <v>20</v>
      </c>
      <c r="B34" s="7">
        <f>SUMIFS(TablaGastos[Amount],TablaGastos[Category],$A34,TablaGastos[Date],"&gt;="&amp;DATE(2026,1,1),TablaGastos[Date],"&lt;"&amp;DATE(2026,2,1))</f>
        <v>0</v>
      </c>
      <c r="C34" s="7">
        <f>SUMIFS(TablaGastos[Amount],TablaGastos[Category],$A34,TablaGastos[Date],"&gt;="&amp;DATE(2026,2,1),TablaGastos[Date],"&lt;"&amp;DATE(2026,3,1))</f>
        <v>0</v>
      </c>
      <c r="D34" s="7">
        <f>SUMIFS(TablaGastos[Amount],TablaGastos[Category],$A34,TablaGastos[Date],"&gt;="&amp;DATE(2026,3,1),TablaGastos[Date],"&lt;"&amp;DATE(2026,4,1))</f>
        <v>0</v>
      </c>
      <c r="E34" s="7">
        <f>SUMIFS(TablaGastos[Amount],TablaGastos[Category],$A34,TablaGastos[Date],"&gt;="&amp;DATE(2026,4,1),TablaGastos[Date],"&lt;"&amp;DATE(2026,5,1))</f>
        <v>0</v>
      </c>
      <c r="F34" s="7">
        <f>SUMIFS(TablaGastos[Amount],TablaGastos[Category],$A34,TablaGastos[Date],"&gt;="&amp;DATE(2026,5,1),TablaGastos[Date],"&lt;"&amp;DATE(2026,6,1))</f>
        <v>0</v>
      </c>
      <c r="G34" s="7">
        <f>SUMIFS(TablaGastos[Amount],TablaGastos[Category],$A34,TablaGastos[Date],"&gt;="&amp;DATE(2026,6,1),TablaGastos[Date],"&lt;"&amp;DATE(2026,7,1))</f>
        <v>0</v>
      </c>
      <c r="H34" s="7">
        <f>SUMIFS(TablaGastos[Amount],TablaGastos[Category],$A34,TablaGastos[Date],"&gt;="&amp;DATE(2026,7,1),TablaGastos[Date],"&lt;"&amp;DATE(2026,8,1))</f>
        <v>0</v>
      </c>
      <c r="I34" s="7">
        <f>SUMIFS(TablaGastos[Amount],TablaGastos[Category],$A34,TablaGastos[Date],"&gt;="&amp;DATE(2026,8,1),TablaGastos[Date],"&lt;"&amp;DATE(2026,9,1))</f>
        <v>0</v>
      </c>
      <c r="J34" s="7">
        <f>SUMIFS(TablaGastos[Amount],TablaGastos[Category],$A34,TablaGastos[Date],"&gt;="&amp;DATE(2026,9,1),TablaGastos[Date],"&lt;"&amp;DATE(2026,10,1))</f>
        <v>0</v>
      </c>
      <c r="K34" s="7">
        <f>SUMIFS(TablaGastos[Amount],TablaGastos[Category],$A34,TablaGastos[Date],"&gt;="&amp;DATE(2026,10,1),TablaGastos[Date],"&lt;"&amp;DATE(2026,11,1))</f>
        <v>0</v>
      </c>
      <c r="L34" s="7">
        <f>SUMIFS(TablaGastos[Amount],TablaGastos[Category],$A34,TablaGastos[Date],"&gt;="&amp;DATE(2026,11,1),TablaGastos[Date],"&lt;"&amp;DATE(2026,12,1))</f>
        <v>0</v>
      </c>
      <c r="M34" s="7">
        <f>SUMIFS(TablaGastos[Amount],TablaGastos[Category],$A34,TablaGastos[Date],"&gt;="&amp;DATE(2026,12,1),TablaGastos[Date],"&lt;"&amp;DATE(2027,1,1))</f>
        <v>0</v>
      </c>
      <c r="N34" s="7">
        <f t="shared" si="2"/>
        <v>0</v>
      </c>
    </row>
    <row r="35" spans="1:14" x14ac:dyDescent="0.25">
      <c r="A35" s="8" t="s">
        <v>14</v>
      </c>
      <c r="B35" s="7">
        <f>SUMIFS(TablaGastos[Amount],TablaGastos[Category],$A35,TablaGastos[Date],"&gt;="&amp;DATE(2026,1,1),TablaGastos[Date],"&lt;"&amp;DATE(2026,2,1))</f>
        <v>0</v>
      </c>
      <c r="C35" s="7">
        <f>SUMIFS(TablaGastos[Amount],TablaGastos[Category],$A35,TablaGastos[Date],"&gt;="&amp;DATE(2026,2,1),TablaGastos[Date],"&lt;"&amp;DATE(2026,3,1))</f>
        <v>0</v>
      </c>
      <c r="D35" s="7">
        <f>SUMIFS(TablaGastos[Amount],TablaGastos[Category],$A35,TablaGastos[Date],"&gt;="&amp;DATE(2026,3,1),TablaGastos[Date],"&lt;"&amp;DATE(2026,4,1))</f>
        <v>0</v>
      </c>
      <c r="E35" s="7">
        <f>SUMIFS(TablaGastos[Amount],TablaGastos[Category],$A35,TablaGastos[Date],"&gt;="&amp;DATE(2026,4,1),TablaGastos[Date],"&lt;"&amp;DATE(2026,5,1))</f>
        <v>0</v>
      </c>
      <c r="F35" s="7">
        <f>SUMIFS(TablaGastos[Amount],TablaGastos[Category],$A35,TablaGastos[Date],"&gt;="&amp;DATE(2026,5,1),TablaGastos[Date],"&lt;"&amp;DATE(2026,6,1))</f>
        <v>0</v>
      </c>
      <c r="G35" s="7">
        <f>SUMIFS(TablaGastos[Amount],TablaGastos[Category],$A35,TablaGastos[Date],"&gt;="&amp;DATE(2026,6,1),TablaGastos[Date],"&lt;"&amp;DATE(2026,7,1))</f>
        <v>0</v>
      </c>
      <c r="H35" s="7">
        <f>SUMIFS(TablaGastos[Amount],TablaGastos[Category],$A35,TablaGastos[Date],"&gt;="&amp;DATE(2026,7,1),TablaGastos[Date],"&lt;"&amp;DATE(2026,8,1))</f>
        <v>0</v>
      </c>
      <c r="I35" s="7">
        <f>SUMIFS(TablaGastos[Amount],TablaGastos[Category],$A35,TablaGastos[Date],"&gt;="&amp;DATE(2026,8,1),TablaGastos[Date],"&lt;"&amp;DATE(2026,9,1))</f>
        <v>0</v>
      </c>
      <c r="J35" s="7">
        <f>SUMIFS(TablaGastos[Amount],TablaGastos[Category],$A35,TablaGastos[Date],"&gt;="&amp;DATE(2026,9,1),TablaGastos[Date],"&lt;"&amp;DATE(2026,10,1))</f>
        <v>0</v>
      </c>
      <c r="K35" s="7">
        <f>SUMIFS(TablaGastos[Amount],TablaGastos[Category],$A35,TablaGastos[Date],"&gt;="&amp;DATE(2026,10,1),TablaGastos[Date],"&lt;"&amp;DATE(2026,11,1))</f>
        <v>0</v>
      </c>
      <c r="L35" s="7">
        <f>SUMIFS(TablaGastos[Amount],TablaGastos[Category],$A35,TablaGastos[Date],"&gt;="&amp;DATE(2026,11,1),TablaGastos[Date],"&lt;"&amp;DATE(2026,12,1))</f>
        <v>0</v>
      </c>
      <c r="M35" s="7">
        <f>SUMIFS(TablaGastos[Amount],TablaGastos[Category],$A35,TablaGastos[Date],"&gt;="&amp;DATE(2026,12,1),TablaGastos[Date],"&lt;"&amp;DATE(2027,1,1))</f>
        <v>0</v>
      </c>
      <c r="N35" s="7">
        <f t="shared" si="2"/>
        <v>0</v>
      </c>
    </row>
    <row r="36" spans="1:14" x14ac:dyDescent="0.25">
      <c r="A36" s="8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</row>
    <row r="37" spans="1:14" x14ac:dyDescent="0.25">
      <c r="A37" s="75" t="s">
        <v>131</v>
      </c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</row>
    <row r="38" spans="1:14" x14ac:dyDescent="0.25">
      <c r="A38" s="8" t="s">
        <v>71</v>
      </c>
      <c r="B38" s="7">
        <f>SUMIFS(TablaGastos[Amount],TablaGastos[Category],"Owner's Distribution",TablaGastos[Date],"&gt;="&amp;DATE(2026,1,1),TablaGastos[Date],"&lt;"&amp;DATE(2026,2,1))</f>
        <v>0</v>
      </c>
      <c r="C38" s="7">
        <f>SUMIFS(TablaGastos[Amount],TablaGastos[Category],"Owner's Distribution",TablaGastos[Date],"&gt;="&amp;DATE(2026,2,1),TablaGastos[Date],"&lt;"&amp;DATE(2026,3,1))</f>
        <v>0</v>
      </c>
      <c r="D38" s="7">
        <f>SUMIFS(TablaGastos[Amount],TablaGastos[Category],"Owner's Distribution",TablaGastos[Date],"&gt;="&amp;DATE(2026,3,1),TablaGastos[Date],"&lt;"&amp;DATE(2026,4,1))</f>
        <v>0</v>
      </c>
      <c r="E38" s="7">
        <f>SUMIFS(TablaGastos[Amount],TablaGastos[Category],"Owner's Distribution",TablaGastos[Date],"&gt;="&amp;DATE(2026,4,1),TablaGastos[Date],"&lt;"&amp;DATE(2026,5,1))</f>
        <v>0</v>
      </c>
      <c r="F38" s="7">
        <f>SUMIFS(TablaGastos[Amount],TablaGastos[Category],"Owner's Distribution",TablaGastos[Date],"&gt;="&amp;DATE(2026,5,1),TablaGastos[Date],"&lt;"&amp;DATE(2026,6,1))</f>
        <v>0</v>
      </c>
      <c r="G38" s="7">
        <f>SUMIFS(TablaGastos[Amount],TablaGastos[Category],"Owner's Distribution",TablaGastos[Date],"&gt;="&amp;DATE(2026,6,1),TablaGastos[Date],"&lt;"&amp;DATE(2026,7,1))</f>
        <v>0</v>
      </c>
      <c r="H38" s="7">
        <f>SUMIFS(TablaGastos[Amount],TablaGastos[Category],"Owner's Distribution",TablaGastos[Date],"&gt;="&amp;DATE(2026,7,1),TablaGastos[Date],"&lt;"&amp;DATE(2026,8,1))</f>
        <v>0</v>
      </c>
      <c r="I38" s="7">
        <f>SUMIFS(TablaGastos[Amount],TablaGastos[Category],"Owner's Distribution",TablaGastos[Date],"&gt;="&amp;DATE(2026,8,1),TablaGastos[Date],"&lt;"&amp;DATE(2026,9,1))</f>
        <v>0</v>
      </c>
      <c r="J38" s="7">
        <f>SUMIFS(TablaGastos[Amount],TablaGastos[Category],"Owner's Distribution",TablaGastos[Date],"&gt;="&amp;DATE(2026,9,1),TablaGastos[Date],"&lt;"&amp;DATE(2026,10,1))</f>
        <v>0</v>
      </c>
      <c r="K38" s="7">
        <f>SUMIFS(TablaGastos[Amount],TablaGastos[Category],"Owner's Distribution",TablaGastos[Date],"&gt;="&amp;DATE(2026,10,1),TablaGastos[Date],"&lt;"&amp;DATE(2026,11,1))</f>
        <v>0</v>
      </c>
      <c r="L38" s="7">
        <f>SUMIFS(TablaGastos[Amount],TablaGastos[Category],"Owner's Distribution",TablaGastos[Date],"&gt;="&amp;DATE(2026,11,1),TablaGastos[Date],"&lt;"&amp;DATE(2026,12,1))</f>
        <v>0</v>
      </c>
      <c r="M38" s="7">
        <f>SUMIFS(TablaGastos[Amount],TablaGastos[Category],"Owner's Distribution",TablaGastos[Date],"&gt;="&amp;DATE(2026,12,1),TablaGastos[Date],"&lt;"&amp;DATE(2027,1,1))</f>
        <v>0</v>
      </c>
      <c r="N38" s="7">
        <f>SUM(B38:M38)</f>
        <v>0</v>
      </c>
    </row>
    <row r="39" spans="1:14" x14ac:dyDescent="0.25">
      <c r="A39" s="8" t="s">
        <v>111</v>
      </c>
      <c r="B39" s="7">
        <f>SUMIFS(TablaGastos[Amount],TablaGastos[Category],"Loan - Principal",TablaGastos[Date],"&gt;="&amp;DATE(2026,1,1),TablaGastos[Date],"&lt;"&amp;DATE(2026,2,1))</f>
        <v>0</v>
      </c>
      <c r="C39" s="7">
        <f>SUMIFS(TablaGastos[Amount],TablaGastos[Category],"Loan - Principal",TablaGastos[Date],"&gt;="&amp;DATE(2026,2,1),TablaGastos[Date],"&lt;"&amp;DATE(2026,3,1))</f>
        <v>0</v>
      </c>
      <c r="D39" s="7">
        <f>SUMIFS(TablaGastos[Amount],TablaGastos[Category],"Loan - Principal",TablaGastos[Date],"&gt;="&amp;DATE(2026,3,1),TablaGastos[Date],"&lt;"&amp;DATE(2026,4,1))</f>
        <v>0</v>
      </c>
      <c r="E39" s="7">
        <f>SUMIFS(TablaGastos[Amount],TablaGastos[Category],"Loan - Principal",TablaGastos[Date],"&gt;="&amp;DATE(2026,4,1),TablaGastos[Date],"&lt;"&amp;DATE(2026,5,1))</f>
        <v>0</v>
      </c>
      <c r="F39" s="7">
        <f>SUMIFS(TablaGastos[Amount],TablaGastos[Category],"Loan - Principal",TablaGastos[Date],"&gt;="&amp;DATE(2026,5,1),TablaGastos[Date],"&lt;"&amp;DATE(2026,6,1))</f>
        <v>0</v>
      </c>
      <c r="G39" s="7">
        <f>SUMIFS(TablaGastos[Amount],TablaGastos[Category],"Loan - Principal",TablaGastos[Date],"&gt;="&amp;DATE(2026,6,1),TablaGastos[Date],"&lt;"&amp;DATE(2026,7,1))</f>
        <v>0</v>
      </c>
      <c r="H39" s="7">
        <f>SUMIFS(TablaGastos[Amount],TablaGastos[Category],"Loan - Principal",TablaGastos[Date],"&gt;="&amp;DATE(2026,7,1),TablaGastos[Date],"&lt;"&amp;DATE(2026,8,1))</f>
        <v>0</v>
      </c>
      <c r="I39" s="7">
        <f>SUMIFS(TablaGastos[Amount],TablaGastos[Category],"Loan - Principal",TablaGastos[Date],"&gt;="&amp;DATE(2026,8,1),TablaGastos[Date],"&lt;"&amp;DATE(2026,9,1))</f>
        <v>0</v>
      </c>
      <c r="J39" s="7">
        <f>SUMIFS(TablaGastos[Amount],TablaGastos[Category],"Loan - Principal",TablaGastos[Date],"&gt;="&amp;DATE(2026,9,1),TablaGastos[Date],"&lt;"&amp;DATE(2026,10,1))</f>
        <v>0</v>
      </c>
      <c r="K39" s="7">
        <f>SUMIFS(TablaGastos[Amount],TablaGastos[Category],"Loan - Principal",TablaGastos[Date],"&gt;="&amp;DATE(2026,10,1),TablaGastos[Date],"&lt;"&amp;DATE(2026,11,1))</f>
        <v>0</v>
      </c>
      <c r="L39" s="7">
        <f>SUMIFS(TablaGastos[Amount],TablaGastos[Category],"Loan - Principal",TablaGastos[Date],"&gt;="&amp;DATE(2026,11,1),TablaGastos[Date],"&lt;"&amp;DATE(2026,12,1))</f>
        <v>0</v>
      </c>
      <c r="M39" s="7">
        <f>SUMIFS(TablaGastos[Amount],TablaGastos[Category],"Loan - Principal",TablaGastos[Date],"&gt;="&amp;DATE(2026,12,1),TablaGastos[Date],"&lt;"&amp;DATE(2027,1,1))</f>
        <v>0</v>
      </c>
      <c r="N39" s="7">
        <f>SUM(B39:M39)</f>
        <v>0</v>
      </c>
    </row>
    <row r="40" spans="1:14" x14ac:dyDescent="0.25">
      <c r="A40" s="8" t="s">
        <v>54</v>
      </c>
      <c r="B40" s="7">
        <f>SUMIFS(TablaIngresos[Amount],TablaIngresos[Category],"Returns and allowances",TablaIngresos[INCOME STATEMENT - REVENUE SECTION],"&gt;="&amp;DATE(2026,1,1),TablaIngresos[INCOME STATEMENT - REVENUE SECTION],"&lt;"&amp;DATE(2026,2,1))</f>
        <v>0</v>
      </c>
      <c r="C40" s="7">
        <f>SUMIFS(TablaIngresos[Amount],TablaIngresos[Category],"Returns and allowances",TablaIngresos[INCOME STATEMENT - REVENUE SECTION],"&gt;="&amp;DATE(2026,2,1),TablaIngresos[INCOME STATEMENT - REVENUE SECTION],"&lt;"&amp;DATE(2026,3,1))</f>
        <v>0</v>
      </c>
      <c r="D40" s="7">
        <f>SUMIFS(TablaIngresos[Amount],TablaIngresos[Category],"Returns and allowances",TablaIngresos[INCOME STATEMENT - REVENUE SECTION],"&gt;="&amp;DATE(2026,3,1),TablaIngresos[INCOME STATEMENT - REVENUE SECTION],"&lt;"&amp;DATE(2026,4,1))</f>
        <v>0</v>
      </c>
      <c r="E40" s="7">
        <f>SUMIFS(TablaIngresos[Amount],TablaIngresos[Category],"Returns and allowances",TablaIngresos[INCOME STATEMENT - REVENUE SECTION],"&gt;="&amp;DATE(2026,4,1),TablaIngresos[INCOME STATEMENT - REVENUE SECTION],"&lt;"&amp;DATE(2026,5,1))</f>
        <v>0</v>
      </c>
      <c r="F40" s="7">
        <f>SUMIFS(TablaIngresos[Amount],TablaIngresos[Category],"Returns and allowances",TablaIngresos[INCOME STATEMENT - REVENUE SECTION],"&gt;="&amp;DATE(2026,5,1),TablaIngresos[INCOME STATEMENT - REVENUE SECTION],"&lt;"&amp;DATE(2026,6,1))</f>
        <v>0</v>
      </c>
      <c r="G40" s="7">
        <f>SUMIFS(TablaIngresos[Amount],TablaIngresos[Category],"Returns and allowances",TablaIngresos[INCOME STATEMENT - REVENUE SECTION],"&gt;="&amp;DATE(2026,6,1),TablaIngresos[INCOME STATEMENT - REVENUE SECTION],"&lt;"&amp;DATE(2026,7,1))</f>
        <v>0</v>
      </c>
      <c r="H40" s="7">
        <f>SUMIFS(TablaIngresos[Amount],TablaIngresos[Category],"Returns and allowances",TablaIngresos[INCOME STATEMENT - REVENUE SECTION],"&gt;="&amp;DATE(2026,7,1),TablaIngresos[INCOME STATEMENT - REVENUE SECTION],"&lt;"&amp;DATE(2026,8,1))</f>
        <v>0</v>
      </c>
      <c r="I40" s="7">
        <f>SUMIFS(TablaIngresos[Amount],TablaIngresos[Category],"Returns and allowances",TablaIngresos[INCOME STATEMENT - REVENUE SECTION],"&gt;="&amp;DATE(2026,8,1),TablaIngresos[INCOME STATEMENT - REVENUE SECTION],"&lt;"&amp;DATE(2026,9,1))</f>
        <v>0</v>
      </c>
      <c r="J40" s="7">
        <f>SUMIFS(TablaIngresos[Amount],TablaIngresos[Category],"Returns and allowances",TablaIngresos[INCOME STATEMENT - REVENUE SECTION],"&gt;="&amp;DATE(2026,9,1),TablaIngresos[INCOME STATEMENT - REVENUE SECTION],"&lt;"&amp;DATE(2026,10,1))</f>
        <v>0</v>
      </c>
      <c r="K40" s="7">
        <f>SUMIFS(TablaIngresos[Amount],TablaIngresos[Category],"Returns and allowances",TablaIngresos[INCOME STATEMENT - REVENUE SECTION],"&gt;="&amp;DATE(2026,10,1),TablaIngresos[INCOME STATEMENT - REVENUE SECTION],"&lt;"&amp;DATE(2026,11,1))</f>
        <v>0</v>
      </c>
      <c r="L40" s="7">
        <f>SUMIFS(TablaIngresos[Amount],TablaIngresos[Category],"Returns and allowances",TablaIngresos[INCOME STATEMENT - REVENUE SECTION],"&gt;="&amp;DATE(2026,11,1),TablaIngresos[INCOME STATEMENT - REVENUE SECTION],"&lt;"&amp;DATE(2026,12,1))</f>
        <v>0</v>
      </c>
      <c r="M40" s="7">
        <f>SUMIFS(TablaIngresos[Amount],TablaIngresos[Category],"Returns and allowances",TablaIngresos[INCOME STATEMENT - REVENUE SECTION],"&gt;="&amp;DATE(2026,12,1),TablaIngresos[INCOME STATEMENT - REVENUE SECTION],"&lt;"&amp;DATE(2027,1,1))</f>
        <v>0</v>
      </c>
      <c r="N40" s="7">
        <f>SUM(B40:M40)</f>
        <v>0</v>
      </c>
    </row>
    <row r="41" spans="1:14" x14ac:dyDescent="0.25">
      <c r="A41" s="8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</row>
    <row r="42" spans="1:14" ht="15.75" thickBot="1" x14ac:dyDescent="0.3">
      <c r="A42" s="18" t="s">
        <v>68</v>
      </c>
      <c r="B42" s="19">
        <f>SUM(B14:B40)</f>
        <v>0</v>
      </c>
      <c r="C42" s="19">
        <f t="shared" ref="C42:N42" si="3">SUM(C14:C40)</f>
        <v>0</v>
      </c>
      <c r="D42" s="19">
        <f t="shared" si="3"/>
        <v>0</v>
      </c>
      <c r="E42" s="19">
        <f t="shared" si="3"/>
        <v>0</v>
      </c>
      <c r="F42" s="19">
        <f t="shared" si="3"/>
        <v>0</v>
      </c>
      <c r="G42" s="19">
        <f t="shared" si="3"/>
        <v>0</v>
      </c>
      <c r="H42" s="19">
        <f t="shared" si="3"/>
        <v>0</v>
      </c>
      <c r="I42" s="19">
        <f t="shared" si="3"/>
        <v>0</v>
      </c>
      <c r="J42" s="19">
        <f t="shared" si="3"/>
        <v>0</v>
      </c>
      <c r="K42" s="19">
        <f t="shared" si="3"/>
        <v>0</v>
      </c>
      <c r="L42" s="19">
        <f t="shared" si="3"/>
        <v>0</v>
      </c>
      <c r="M42" s="19">
        <f t="shared" si="3"/>
        <v>0</v>
      </c>
      <c r="N42" s="19">
        <f t="shared" si="3"/>
        <v>0</v>
      </c>
    </row>
    <row r="43" spans="1:14" ht="16.5" thickTop="1" thickBot="1" x14ac:dyDescent="0.3">
      <c r="A43" s="8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</row>
    <row r="44" spans="1:14" ht="17.25" thickTop="1" thickBot="1" x14ac:dyDescent="0.3">
      <c r="A44" s="20" t="s">
        <v>69</v>
      </c>
      <c r="B44" s="21">
        <f t="shared" ref="B44:M44" si="4">B11-B42</f>
        <v>0</v>
      </c>
      <c r="C44" s="21">
        <f t="shared" si="4"/>
        <v>0</v>
      </c>
      <c r="D44" s="21">
        <f t="shared" si="4"/>
        <v>0</v>
      </c>
      <c r="E44" s="21">
        <f t="shared" si="4"/>
        <v>0</v>
      </c>
      <c r="F44" s="21">
        <f t="shared" si="4"/>
        <v>0</v>
      </c>
      <c r="G44" s="21">
        <f t="shared" si="4"/>
        <v>0</v>
      </c>
      <c r="H44" s="21">
        <f t="shared" si="4"/>
        <v>0</v>
      </c>
      <c r="I44" s="21">
        <f t="shared" si="4"/>
        <v>0</v>
      </c>
      <c r="J44" s="21">
        <f t="shared" si="4"/>
        <v>0</v>
      </c>
      <c r="K44" s="21">
        <f t="shared" si="4"/>
        <v>0</v>
      </c>
      <c r="L44" s="21">
        <f t="shared" si="4"/>
        <v>0</v>
      </c>
      <c r="M44" s="21">
        <f t="shared" si="4"/>
        <v>0</v>
      </c>
      <c r="N44" s="21">
        <f>SUM(B44:M44)</f>
        <v>0</v>
      </c>
    </row>
    <row r="45" spans="1:14" ht="15.75" thickTop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597F-E6E0-4A56-BFB4-B95D70184B80}">
  <dimension ref="A1:B74"/>
  <sheetViews>
    <sheetView topLeftCell="A48" workbookViewId="0">
      <selection activeCell="B37" sqref="B37"/>
    </sheetView>
  </sheetViews>
  <sheetFormatPr baseColWidth="10" defaultRowHeight="15" x14ac:dyDescent="0.25"/>
  <cols>
    <col min="1" max="1" width="57.140625" customWidth="1"/>
    <col min="2" max="2" width="19" style="29" customWidth="1"/>
  </cols>
  <sheetData>
    <row r="1" spans="1:2" ht="21" x14ac:dyDescent="0.35">
      <c r="A1" s="77" t="s">
        <v>37</v>
      </c>
      <c r="B1" s="77"/>
    </row>
    <row r="2" spans="1:2" x14ac:dyDescent="0.25">
      <c r="A2" s="78" t="s">
        <v>72</v>
      </c>
      <c r="B2" s="78"/>
    </row>
    <row r="3" spans="1:2" x14ac:dyDescent="0.25">
      <c r="B3"/>
    </row>
    <row r="4" spans="1:2" x14ac:dyDescent="0.25">
      <c r="B4"/>
    </row>
    <row r="5" spans="1:2" x14ac:dyDescent="0.25">
      <c r="A5" s="79" t="s">
        <v>52</v>
      </c>
      <c r="B5" s="79"/>
    </row>
    <row r="6" spans="1:2" x14ac:dyDescent="0.25">
      <c r="A6" t="s">
        <v>53</v>
      </c>
      <c r="B6" s="7">
        <f>SUMIF(TablaIngresos[Category],"Gross receipts or sales",TablaIngresos[Amount])</f>
        <v>0</v>
      </c>
    </row>
    <row r="7" spans="1:2" x14ac:dyDescent="0.25">
      <c r="A7" t="s">
        <v>34</v>
      </c>
      <c r="B7" s="7">
        <f>SUMIF(TablaIngresos[Category],"Other income",TablaIngresos[Amount])</f>
        <v>0</v>
      </c>
    </row>
    <row r="8" spans="1:2" x14ac:dyDescent="0.25">
      <c r="A8" t="s">
        <v>55</v>
      </c>
      <c r="B8" s="7">
        <f>SUMIF(TablaIngresos[Category],"Interest income",TablaIngresos[Amount])</f>
        <v>0</v>
      </c>
    </row>
    <row r="9" spans="1:2" x14ac:dyDescent="0.25">
      <c r="A9" t="s">
        <v>56</v>
      </c>
      <c r="B9" s="7">
        <f>SUMIF(TablaIngresos[Category],"Dividend income",TablaIngresos[Amount])</f>
        <v>0</v>
      </c>
    </row>
    <row r="10" spans="1:2" x14ac:dyDescent="0.25">
      <c r="A10" t="s">
        <v>57</v>
      </c>
      <c r="B10" s="7">
        <f>SUMIF(TablaIngresos[Category],"Capital gains",TablaIngresos[Amount])</f>
        <v>0</v>
      </c>
    </row>
    <row r="11" spans="1:2" x14ac:dyDescent="0.25">
      <c r="A11" t="s">
        <v>86</v>
      </c>
      <c r="B11" s="7">
        <f>SUMIF(TablaIngresos[Category],"Deposit",TablaIngresos[Amount])</f>
        <v>0</v>
      </c>
    </row>
    <row r="12" spans="1:2" ht="15.75" thickBot="1" x14ac:dyDescent="0.3">
      <c r="A12" s="59" t="s">
        <v>58</v>
      </c>
      <c r="B12" s="60">
        <f>SUM(B6:B11)</f>
        <v>0</v>
      </c>
    </row>
    <row r="13" spans="1:2" ht="15.75" thickTop="1" x14ac:dyDescent="0.25">
      <c r="B13" s="7"/>
    </row>
    <row r="14" spans="1:2" x14ac:dyDescent="0.25">
      <c r="A14" s="58" t="s">
        <v>120</v>
      </c>
      <c r="B14" s="69"/>
    </row>
    <row r="15" spans="1:2" x14ac:dyDescent="0.25">
      <c r="A15" t="s">
        <v>5</v>
      </c>
      <c r="B15" s="5">
        <f>SUMIF(Expenses!$E:$E,A15,Expenses!$I:$I)</f>
        <v>0</v>
      </c>
    </row>
    <row r="16" spans="1:2" x14ac:dyDescent="0.25">
      <c r="A16" t="s">
        <v>63</v>
      </c>
      <c r="B16" s="5">
        <f>SUMIF(Expenses!$E:$E,A16,Expenses!$I:$I)</f>
        <v>0</v>
      </c>
    </row>
    <row r="17" spans="1:2" x14ac:dyDescent="0.25">
      <c r="A17" t="s">
        <v>18</v>
      </c>
      <c r="B17" s="5">
        <f>SUMIF(Expenses!$E:$E,A17,Expenses!$I:$I)</f>
        <v>0</v>
      </c>
    </row>
    <row r="18" spans="1:2" x14ac:dyDescent="0.25">
      <c r="A18" s="36" t="s">
        <v>121</v>
      </c>
      <c r="B18" s="37">
        <f>SUM(B15:B17)</f>
        <v>0</v>
      </c>
    </row>
    <row r="19" spans="1:2" x14ac:dyDescent="0.25">
      <c r="B19" s="5"/>
    </row>
    <row r="20" spans="1:2" x14ac:dyDescent="0.25">
      <c r="A20" s="62" t="s">
        <v>122</v>
      </c>
      <c r="B20" s="70"/>
    </row>
    <row r="21" spans="1:2" x14ac:dyDescent="0.25">
      <c r="A21" t="s">
        <v>60</v>
      </c>
      <c r="B21" s="5">
        <f>SUMIF(Expenses!$E:$E,A21,Expenses!$I:$I)</f>
        <v>0</v>
      </c>
    </row>
    <row r="22" spans="1:2" x14ac:dyDescent="0.25">
      <c r="A22" t="s">
        <v>3</v>
      </c>
      <c r="B22" s="5">
        <f>SUMIF(Expenses!$E:$E,A22,Expenses!$I:$I)</f>
        <v>0</v>
      </c>
    </row>
    <row r="23" spans="1:2" x14ac:dyDescent="0.25">
      <c r="A23" t="s">
        <v>4</v>
      </c>
      <c r="B23" s="5">
        <f>SUMIF(Expenses!$E:$E,A23,Expenses!$I:$I)</f>
        <v>0</v>
      </c>
    </row>
    <row r="24" spans="1:2" x14ac:dyDescent="0.25">
      <c r="A24" t="s">
        <v>6</v>
      </c>
      <c r="B24" s="5">
        <f>SUMIF(Expenses!$E:$E,A24,Expenses!$I:$I)</f>
        <v>0</v>
      </c>
    </row>
    <row r="25" spans="1:2" x14ac:dyDescent="0.25">
      <c r="A25" t="s">
        <v>81</v>
      </c>
      <c r="B25" s="5">
        <f>SUMIF(Expenses!$E:$E,A25,Expenses!$I:$I)</f>
        <v>0</v>
      </c>
    </row>
    <row r="26" spans="1:2" x14ac:dyDescent="0.25">
      <c r="A26" t="s">
        <v>9</v>
      </c>
      <c r="B26" s="5">
        <f>SUMIF(Expenses!$E:$E,A26,Expenses!$I:$I)</f>
        <v>0</v>
      </c>
    </row>
    <row r="27" spans="1:2" x14ac:dyDescent="0.25">
      <c r="A27" t="s">
        <v>10</v>
      </c>
      <c r="B27" s="5">
        <f>SUMIF(Expenses!$E:$E,A27,Expenses!$I:$I)</f>
        <v>0</v>
      </c>
    </row>
    <row r="28" spans="1:2" x14ac:dyDescent="0.25">
      <c r="A28" t="s">
        <v>82</v>
      </c>
      <c r="B28" s="5">
        <f>SUMIF(Expenses!$E:$E,A28,Expenses!$I:$I)</f>
        <v>0</v>
      </c>
    </row>
    <row r="29" spans="1:2" x14ac:dyDescent="0.25">
      <c r="A29" t="s">
        <v>12</v>
      </c>
      <c r="B29" s="5">
        <f>SUMIF(Expenses!$E:$E,A29,Expenses!$I:$I)</f>
        <v>0</v>
      </c>
    </row>
    <row r="30" spans="1:2" x14ac:dyDescent="0.25">
      <c r="A30" t="s">
        <v>13</v>
      </c>
      <c r="B30" s="5">
        <f>SUMIF(Expenses!$E:$E,A30,Expenses!$I:$I)</f>
        <v>0</v>
      </c>
    </row>
    <row r="31" spans="1:2" x14ac:dyDescent="0.25">
      <c r="A31" t="s">
        <v>83</v>
      </c>
      <c r="B31" s="5">
        <f>SUMIF(Expenses!$E:$E,A31,Expenses!$I:$I)</f>
        <v>0</v>
      </c>
    </row>
    <row r="32" spans="1:2" x14ac:dyDescent="0.25">
      <c r="A32" t="s">
        <v>14</v>
      </c>
      <c r="B32" s="5">
        <f>SUMIF(Expenses!$E:$E,A32,Expenses!$I:$I)</f>
        <v>0</v>
      </c>
    </row>
    <row r="33" spans="1:2" x14ac:dyDescent="0.25">
      <c r="A33" t="s">
        <v>16</v>
      </c>
      <c r="B33" s="5">
        <f>SUMIF(Expenses!$E:$E,A33,Expenses!$I:$I)</f>
        <v>0</v>
      </c>
    </row>
    <row r="34" spans="1:2" x14ac:dyDescent="0.25">
      <c r="A34" t="s">
        <v>17</v>
      </c>
      <c r="B34" s="5">
        <f>SUMIF(Expenses!$E:$E,A34,Expenses!$I:$I)</f>
        <v>0</v>
      </c>
    </row>
    <row r="35" spans="1:2" x14ac:dyDescent="0.25">
      <c r="A35" t="s">
        <v>88</v>
      </c>
      <c r="B35" s="5">
        <f>SUMIF(Expenses!$E:$E,A35,Expenses!$I:$I)</f>
        <v>0</v>
      </c>
    </row>
    <row r="36" spans="1:2" x14ac:dyDescent="0.25">
      <c r="A36" t="s">
        <v>19</v>
      </c>
      <c r="B36" s="5">
        <f>SUMIF(Expenses!$E:$E,A36,Expenses!$I:$I)</f>
        <v>0</v>
      </c>
    </row>
    <row r="37" spans="1:2" x14ac:dyDescent="0.25">
      <c r="A37" t="s">
        <v>20</v>
      </c>
      <c r="B37" s="5">
        <f>SUMIF(Expenses!$E:$E,A37,Expenses!$I:$I)</f>
        <v>0</v>
      </c>
    </row>
    <row r="38" spans="1:2" x14ac:dyDescent="0.25">
      <c r="A38" t="s">
        <v>85</v>
      </c>
      <c r="B38" s="5">
        <f>SUMIF(Expenses!$E:$E,A38,Expenses!$I:$I)</f>
        <v>0</v>
      </c>
    </row>
    <row r="39" spans="1:2" x14ac:dyDescent="0.25">
      <c r="A39" s="36" t="s">
        <v>123</v>
      </c>
      <c r="B39" s="37">
        <f>SUM(B21:B38)</f>
        <v>0</v>
      </c>
    </row>
    <row r="40" spans="1:2" x14ac:dyDescent="0.25">
      <c r="B40" s="5"/>
    </row>
    <row r="41" spans="1:2" x14ac:dyDescent="0.25">
      <c r="A41" s="63" t="s">
        <v>124</v>
      </c>
      <c r="B41" s="71"/>
    </row>
    <row r="42" spans="1:2" x14ac:dyDescent="0.25">
      <c r="A42" t="s">
        <v>62</v>
      </c>
      <c r="B42" s="5">
        <f>SUMIF(Expenses!$E:$E,A42,Expenses!$I:$I)</f>
        <v>0</v>
      </c>
    </row>
    <row r="43" spans="1:2" x14ac:dyDescent="0.25">
      <c r="A43" t="s">
        <v>64</v>
      </c>
      <c r="B43" s="5">
        <f>SUMIF(Expenses!$E:$E,A43,Expenses!$I:$I)</f>
        <v>0</v>
      </c>
    </row>
    <row r="44" spans="1:2" x14ac:dyDescent="0.25">
      <c r="A44" t="s">
        <v>15</v>
      </c>
      <c r="B44" s="5">
        <f>SUMIF(Expenses!$E:$E,A44,Expenses!$I:$I)</f>
        <v>0</v>
      </c>
    </row>
    <row r="45" spans="1:2" x14ac:dyDescent="0.25">
      <c r="A45" t="s">
        <v>84</v>
      </c>
      <c r="B45" s="5">
        <f>SUMIF(Expenses!$E:$E,A45,Expenses!$I:$I)</f>
        <v>0</v>
      </c>
    </row>
    <row r="46" spans="1:2" x14ac:dyDescent="0.25">
      <c r="A46" t="s">
        <v>21</v>
      </c>
      <c r="B46" s="5">
        <f>SUMIF(Expenses!$E:$E,A46,Expenses!$I:$I)</f>
        <v>0</v>
      </c>
    </row>
    <row r="47" spans="1:2" x14ac:dyDescent="0.25">
      <c r="A47" s="36" t="s">
        <v>125</v>
      </c>
      <c r="B47" s="37">
        <f>SUM(B42:B46)</f>
        <v>0</v>
      </c>
    </row>
    <row r="48" spans="1:2" x14ac:dyDescent="0.25">
      <c r="B48" s="5"/>
    </row>
    <row r="49" spans="1:2" x14ac:dyDescent="0.25">
      <c r="A49" s="64" t="s">
        <v>126</v>
      </c>
      <c r="B49" s="72"/>
    </row>
    <row r="50" spans="1:2" x14ac:dyDescent="0.25">
      <c r="A50" t="s">
        <v>61</v>
      </c>
      <c r="B50" s="5">
        <f>SUMIF(Expenses!$E:$E,A50,Expenses!$I:$I)</f>
        <v>0</v>
      </c>
    </row>
    <row r="51" spans="1:2" x14ac:dyDescent="0.25">
      <c r="A51" t="s">
        <v>7</v>
      </c>
      <c r="B51" s="5">
        <f>SUMIF(Expenses!$E:$E,A51,Expenses!$I:$I)</f>
        <v>0</v>
      </c>
    </row>
    <row r="52" spans="1:2" x14ac:dyDescent="0.25">
      <c r="A52" t="s">
        <v>8</v>
      </c>
      <c r="B52" s="5">
        <f>SUMIF(Expenses!$E:$E,A52,Expenses!$I:$I)</f>
        <v>0</v>
      </c>
    </row>
    <row r="53" spans="1:2" x14ac:dyDescent="0.25">
      <c r="A53" t="s">
        <v>65</v>
      </c>
      <c r="B53" s="5">
        <f>SUMIF(Expenses!$E:$E,A53,Expenses!$I:$I)</f>
        <v>0</v>
      </c>
    </row>
    <row r="54" spans="1:2" x14ac:dyDescent="0.25">
      <c r="A54" t="s">
        <v>11</v>
      </c>
      <c r="B54" s="5">
        <f>SUMIF(Expenses!$E:$E,A54,Expenses!$I:$I)</f>
        <v>0</v>
      </c>
    </row>
    <row r="55" spans="1:2" x14ac:dyDescent="0.25">
      <c r="A55" s="36" t="s">
        <v>127</v>
      </c>
      <c r="B55" s="37">
        <f>SUM(B50:B54)</f>
        <v>0</v>
      </c>
    </row>
    <row r="56" spans="1:2" x14ac:dyDescent="0.25">
      <c r="B56" s="5"/>
    </row>
    <row r="57" spans="1:2" x14ac:dyDescent="0.25">
      <c r="A57" s="65" t="s">
        <v>128</v>
      </c>
      <c r="B57" s="73"/>
    </row>
    <row r="58" spans="1:2" x14ac:dyDescent="0.25">
      <c r="A58" t="s">
        <v>80</v>
      </c>
      <c r="B58" s="5">
        <f>SUMIF(Expenses!$E:$E,A58,Expenses!$I:$I)</f>
        <v>0</v>
      </c>
    </row>
    <row r="59" spans="1:2" x14ac:dyDescent="0.25">
      <c r="A59" t="s">
        <v>67</v>
      </c>
      <c r="B59" s="5">
        <f>SUMIF(Expenses!$E:$E,A59,Expenses!$I:$I)</f>
        <v>0</v>
      </c>
    </row>
    <row r="60" spans="1:2" x14ac:dyDescent="0.25">
      <c r="A60" s="36" t="s">
        <v>129</v>
      </c>
      <c r="B60" s="37">
        <f>SUM(B58:B59)</f>
        <v>0</v>
      </c>
    </row>
    <row r="61" spans="1:2" x14ac:dyDescent="0.25">
      <c r="B61" s="5"/>
    </row>
    <row r="62" spans="1:2" x14ac:dyDescent="0.25">
      <c r="A62" s="66" t="s">
        <v>130</v>
      </c>
      <c r="B62" s="74">
        <f>B18+B39+B47+B55+B60</f>
        <v>0</v>
      </c>
    </row>
    <row r="63" spans="1:2" x14ac:dyDescent="0.25">
      <c r="B63" s="5"/>
    </row>
    <row r="64" spans="1:2" x14ac:dyDescent="0.25">
      <c r="A64" s="67" t="s">
        <v>73</v>
      </c>
      <c r="B64" s="68">
        <f>B12-B62</f>
        <v>0</v>
      </c>
    </row>
    <row r="65" spans="1:2" x14ac:dyDescent="0.25">
      <c r="B65" s="5"/>
    </row>
    <row r="66" spans="1:2" x14ac:dyDescent="0.25">
      <c r="B66"/>
    </row>
    <row r="67" spans="1:2" x14ac:dyDescent="0.25">
      <c r="B67"/>
    </row>
    <row r="68" spans="1:2" x14ac:dyDescent="0.25">
      <c r="A68" t="s">
        <v>74</v>
      </c>
      <c r="B68"/>
    </row>
    <row r="69" spans="1:2" x14ac:dyDescent="0.25">
      <c r="B69"/>
    </row>
    <row r="70" spans="1:2" x14ac:dyDescent="0.25">
      <c r="A70" t="s">
        <v>75</v>
      </c>
      <c r="B70"/>
    </row>
    <row r="71" spans="1:2" x14ac:dyDescent="0.25">
      <c r="B71"/>
    </row>
    <row r="72" spans="1:2" x14ac:dyDescent="0.25">
      <c r="B72"/>
    </row>
    <row r="73" spans="1:2" x14ac:dyDescent="0.25">
      <c r="B73"/>
    </row>
    <row r="74" spans="1:2" x14ac:dyDescent="0.25">
      <c r="B74"/>
    </row>
  </sheetData>
  <mergeCells count="3">
    <mergeCell ref="A1:B1"/>
    <mergeCell ref="A2:B2"/>
    <mergeCell ref="A5:B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07F6-7E26-4EF0-87D2-4777FA23D908}">
  <dimension ref="A1:H44"/>
  <sheetViews>
    <sheetView workbookViewId="0">
      <selection activeCell="T16" sqref="T16"/>
    </sheetView>
  </sheetViews>
  <sheetFormatPr baseColWidth="10" defaultRowHeight="15" x14ac:dyDescent="0.25"/>
  <cols>
    <col min="1" max="1" width="34.28515625" customWidth="1"/>
    <col min="2" max="2" width="19" customWidth="1"/>
    <col min="4" max="5" width="0" hidden="1" customWidth="1"/>
    <col min="7" max="7" width="23.5703125" bestFit="1" customWidth="1"/>
    <col min="8" max="8" width="6.85546875" bestFit="1" customWidth="1"/>
  </cols>
  <sheetData>
    <row r="1" spans="1:8" ht="23.25" x14ac:dyDescent="0.35">
      <c r="A1" s="80" t="s">
        <v>76</v>
      </c>
      <c r="B1" s="81"/>
      <c r="C1" s="81"/>
      <c r="D1" s="81"/>
      <c r="E1" s="81"/>
      <c r="F1" s="81"/>
      <c r="G1" s="81"/>
      <c r="H1" s="81"/>
    </row>
    <row r="2" spans="1:8" ht="15.75" x14ac:dyDescent="0.25">
      <c r="A2" s="82" t="s">
        <v>38</v>
      </c>
      <c r="B2" s="81"/>
      <c r="C2" s="81"/>
      <c r="D2" s="81"/>
      <c r="E2" s="81"/>
      <c r="F2" s="81"/>
      <c r="G2" s="81"/>
      <c r="H2" s="81"/>
    </row>
    <row r="5" spans="1:8" ht="15.75" x14ac:dyDescent="0.25">
      <c r="A5" s="6" t="s">
        <v>77</v>
      </c>
      <c r="D5" s="49" t="s">
        <v>90</v>
      </c>
      <c r="G5" s="36" t="s">
        <v>92</v>
      </c>
    </row>
    <row r="6" spans="1:8" x14ac:dyDescent="0.25">
      <c r="A6" s="31" t="s">
        <v>23</v>
      </c>
      <c r="B6" s="31" t="s">
        <v>22</v>
      </c>
      <c r="D6" s="50" t="s">
        <v>23</v>
      </c>
      <c r="E6" s="50" t="s">
        <v>22</v>
      </c>
      <c r="G6" t="s">
        <v>23</v>
      </c>
      <c r="H6" t="s">
        <v>22</v>
      </c>
    </row>
    <row r="7" spans="1:8" x14ac:dyDescent="0.25">
      <c r="A7" s="32" t="s">
        <v>53</v>
      </c>
      <c r="B7" s="33">
        <f>SUMIF(TablaIngresos[Category],"Gross receipts or sales",TablaIngresos[Amount])</f>
        <v>0</v>
      </c>
      <c r="D7" t="str">
        <f t="shared" ref="D7:D12" si="0">IF(B7&gt;0, A7, "")</f>
        <v/>
      </c>
      <c r="E7" s="5" t="str">
        <f t="shared" ref="E7:E12" si="1">IF(B7&gt;0, B7, "")</f>
        <v/>
      </c>
      <c r="G7" t="str" cm="1">
        <f t="array" ref="G7">_xlfn._xlws.FILTER(A7:A12, B7:B12&gt;0, "Sin datos")</f>
        <v>Sin datos</v>
      </c>
      <c r="H7" cm="1">
        <f t="array" ref="H7">_xlfn._xlws.FILTER(B7:B12, B7:B12&gt;0, 0)</f>
        <v>0</v>
      </c>
    </row>
    <row r="8" spans="1:8" x14ac:dyDescent="0.25">
      <c r="A8" s="32" t="s">
        <v>54</v>
      </c>
      <c r="B8" s="33">
        <f>SUMIF(TablaIngresos[Category],"Returns and allowances",TablaIngresos[Amount])</f>
        <v>0</v>
      </c>
      <c r="D8" t="str">
        <f t="shared" si="0"/>
        <v/>
      </c>
      <c r="E8" s="5" t="str">
        <f t="shared" si="1"/>
        <v/>
      </c>
    </row>
    <row r="9" spans="1:8" x14ac:dyDescent="0.25">
      <c r="A9" s="32" t="s">
        <v>34</v>
      </c>
      <c r="B9" s="33">
        <f>SUMIF(TablaIngresos[Category],"Other income",TablaIngresos[Amount])</f>
        <v>0</v>
      </c>
      <c r="D9" t="str">
        <f t="shared" si="0"/>
        <v/>
      </c>
      <c r="E9" s="5" t="str">
        <f t="shared" si="1"/>
        <v/>
      </c>
    </row>
    <row r="10" spans="1:8" x14ac:dyDescent="0.25">
      <c r="A10" s="32" t="s">
        <v>55</v>
      </c>
      <c r="B10" s="33">
        <f>SUMIF(TablaIngresos[Category],"Interest income",TablaIngresos[Amount])</f>
        <v>0</v>
      </c>
      <c r="D10" t="str">
        <f t="shared" si="0"/>
        <v/>
      </c>
      <c r="E10" s="5" t="str">
        <f t="shared" si="1"/>
        <v/>
      </c>
    </row>
    <row r="11" spans="1:8" x14ac:dyDescent="0.25">
      <c r="A11" s="32" t="s">
        <v>56</v>
      </c>
      <c r="B11" s="33">
        <f>SUMIF(TablaIngresos[Category],"Dividend income",TablaIngresos[Amount])</f>
        <v>0</v>
      </c>
      <c r="D11" t="str">
        <f t="shared" si="0"/>
        <v/>
      </c>
      <c r="E11" s="5" t="str">
        <f t="shared" si="1"/>
        <v/>
      </c>
    </row>
    <row r="12" spans="1:8" x14ac:dyDescent="0.25">
      <c r="A12" s="32" t="s">
        <v>57</v>
      </c>
      <c r="B12" s="33">
        <f>SUMIF(TablaIngresos[Category],"Capital gains",TablaIngresos[Amount])</f>
        <v>0</v>
      </c>
      <c r="D12" t="str">
        <f t="shared" si="0"/>
        <v/>
      </c>
      <c r="E12" s="5" t="str">
        <f t="shared" si="1"/>
        <v/>
      </c>
    </row>
    <row r="13" spans="1:8" x14ac:dyDescent="0.25">
      <c r="A13" s="34" t="s">
        <v>78</v>
      </c>
      <c r="B13" s="35">
        <f>SUM(B7:B12)</f>
        <v>0</v>
      </c>
    </row>
    <row r="14" spans="1:8" x14ac:dyDescent="0.25">
      <c r="G14" s="36" t="s">
        <v>93</v>
      </c>
    </row>
    <row r="15" spans="1:8" x14ac:dyDescent="0.25">
      <c r="D15" s="51" t="s">
        <v>91</v>
      </c>
      <c r="G15" t="s">
        <v>23</v>
      </c>
      <c r="H15" t="s">
        <v>22</v>
      </c>
    </row>
    <row r="16" spans="1:8" x14ac:dyDescent="0.25">
      <c r="A16" s="38" t="s">
        <v>79</v>
      </c>
      <c r="D16" s="52" t="s">
        <v>23</v>
      </c>
      <c r="E16" s="52" t="s">
        <v>22</v>
      </c>
      <c r="G16" t="str" cm="1">
        <f t="array" ref="G16">_xlfn._xlws.FILTER(A18:A43, B18:B43&gt;0, "Sin datos")</f>
        <v>Sin datos</v>
      </c>
      <c r="H16" cm="1">
        <f t="array" ref="H16">_xlfn._xlws.FILTER(B18:B43, B18:B43&gt;0, 0)</f>
        <v>0</v>
      </c>
    </row>
    <row r="17" spans="1:5" x14ac:dyDescent="0.25">
      <c r="A17" s="36" t="s">
        <v>23</v>
      </c>
      <c r="B17" s="36" t="s">
        <v>22</v>
      </c>
      <c r="D17" t="str">
        <f t="shared" ref="D17:D42" si="2">IF(B18&gt;0, A18, "")</f>
        <v/>
      </c>
      <c r="E17" s="5" t="str">
        <f t="shared" ref="E17:E42" si="3">IF(B18&gt;0, B18, "")</f>
        <v/>
      </c>
    </row>
    <row r="18" spans="1:5" x14ac:dyDescent="0.25">
      <c r="A18" t="s">
        <v>60</v>
      </c>
      <c r="B18" s="5">
        <f>SUMIF(TablaGastos[Category],"Advertising",TablaGastos[Amount])</f>
        <v>0</v>
      </c>
      <c r="D18" t="str">
        <f t="shared" si="2"/>
        <v/>
      </c>
      <c r="E18" s="5" t="str">
        <f t="shared" si="3"/>
        <v/>
      </c>
    </row>
    <row r="19" spans="1:5" x14ac:dyDescent="0.25">
      <c r="A19" t="s">
        <v>61</v>
      </c>
      <c r="B19" s="5">
        <f>SUMIF(TablaGastos[Category],"Bad debts",TablaGastos[Amount])</f>
        <v>0</v>
      </c>
      <c r="D19" t="str">
        <f t="shared" si="2"/>
        <v/>
      </c>
      <c r="E19" s="5" t="str">
        <f t="shared" si="3"/>
        <v/>
      </c>
    </row>
    <row r="20" spans="1:5" x14ac:dyDescent="0.25">
      <c r="A20" t="s">
        <v>3</v>
      </c>
      <c r="B20" s="5">
        <f>SUMIF(TablaGastos[Category],"Car and truck expenses",TablaGastos[Amount])</f>
        <v>0</v>
      </c>
      <c r="D20" t="str">
        <f t="shared" si="2"/>
        <v/>
      </c>
      <c r="E20" s="5" t="str">
        <f t="shared" si="3"/>
        <v/>
      </c>
    </row>
    <row r="21" spans="1:5" x14ac:dyDescent="0.25">
      <c r="A21" t="s">
        <v>4</v>
      </c>
      <c r="B21" s="5">
        <f>SUMIF(TablaGastos[Category],"Commissions and fees",TablaGastos[Amount])</f>
        <v>0</v>
      </c>
      <c r="D21" t="str">
        <f t="shared" si="2"/>
        <v/>
      </c>
      <c r="E21" s="5" t="str">
        <f t="shared" si="3"/>
        <v/>
      </c>
    </row>
    <row r="22" spans="1:5" x14ac:dyDescent="0.25">
      <c r="A22" t="s">
        <v>62</v>
      </c>
      <c r="B22" s="5">
        <f>SUMIF(TablaGastos[Category],"Compensation of officers",TablaGastos[Amount])</f>
        <v>0</v>
      </c>
      <c r="D22" t="str">
        <f t="shared" si="2"/>
        <v/>
      </c>
      <c r="E22" s="5" t="str">
        <f t="shared" si="3"/>
        <v/>
      </c>
    </row>
    <row r="23" spans="1:5" x14ac:dyDescent="0.25">
      <c r="A23" t="s">
        <v>5</v>
      </c>
      <c r="B23" s="5">
        <f>SUMIF(TablaGastos[Category],"Contract labor",TablaGastos[Amount])</f>
        <v>0</v>
      </c>
      <c r="D23" t="str">
        <f t="shared" si="2"/>
        <v/>
      </c>
      <c r="E23" s="5" t="str">
        <f t="shared" si="3"/>
        <v/>
      </c>
    </row>
    <row r="24" spans="1:5" x14ac:dyDescent="0.25">
      <c r="A24" t="s">
        <v>63</v>
      </c>
      <c r="B24" s="5">
        <f>SUMIF(TablaGastos[Category],"Cost of goods sold",TablaGastos[Amount])</f>
        <v>0</v>
      </c>
      <c r="D24" t="str">
        <f t="shared" si="2"/>
        <v/>
      </c>
      <c r="E24" s="5" t="str">
        <f t="shared" si="3"/>
        <v/>
      </c>
    </row>
    <row r="25" spans="1:5" x14ac:dyDescent="0.25">
      <c r="A25" t="s">
        <v>6</v>
      </c>
      <c r="B25" s="5">
        <f>SUMIF(TablaGastos[Category],"Deductible meals",TablaGastos[Amount])</f>
        <v>0</v>
      </c>
      <c r="D25" t="str">
        <f t="shared" si="2"/>
        <v/>
      </c>
      <c r="E25" s="5" t="str">
        <f t="shared" si="3"/>
        <v/>
      </c>
    </row>
    <row r="26" spans="1:5" x14ac:dyDescent="0.25">
      <c r="A26" t="s">
        <v>8</v>
      </c>
      <c r="B26" s="5">
        <f>SUMIF(TablaGastos[Category],"Depreciation",TablaGastos[Amount])</f>
        <v>0</v>
      </c>
      <c r="D26" t="str">
        <f t="shared" si="2"/>
        <v/>
      </c>
      <c r="E26" s="5" t="str">
        <f t="shared" si="3"/>
        <v/>
      </c>
    </row>
    <row r="27" spans="1:5" x14ac:dyDescent="0.25">
      <c r="A27" t="s">
        <v>64</v>
      </c>
      <c r="B27" s="5">
        <f>SUMIF(TablaGastos[Category],"Employee benefit programs",TablaGastos[Amount])</f>
        <v>0</v>
      </c>
      <c r="D27" t="str">
        <f t="shared" si="2"/>
        <v/>
      </c>
      <c r="E27" s="5" t="str">
        <f t="shared" si="3"/>
        <v/>
      </c>
    </row>
    <row r="28" spans="1:5" x14ac:dyDescent="0.25">
      <c r="A28" t="s">
        <v>9</v>
      </c>
      <c r="B28" s="5">
        <f>SUMIF(TablaGastos[Category],"Insurance",TablaGastos[Amount])</f>
        <v>0</v>
      </c>
      <c r="D28" t="str">
        <f t="shared" si="2"/>
        <v/>
      </c>
      <c r="E28" s="5" t="str">
        <f t="shared" si="3"/>
        <v/>
      </c>
    </row>
    <row r="29" spans="1:5" x14ac:dyDescent="0.25">
      <c r="A29" t="s">
        <v>65</v>
      </c>
      <c r="B29" s="5">
        <f>SUMIF(TablaGastos[Category],"Interest",TablaGastos[Amount])</f>
        <v>0</v>
      </c>
      <c r="D29" t="str">
        <f t="shared" si="2"/>
        <v/>
      </c>
      <c r="E29" s="5" t="str">
        <f t="shared" si="3"/>
        <v/>
      </c>
    </row>
    <row r="30" spans="1:5" x14ac:dyDescent="0.25">
      <c r="A30" t="s">
        <v>10</v>
      </c>
      <c r="B30" s="5">
        <f>SUMIF(TablaGastos[Category],"Legal and professional services",TablaGastos[Amount])</f>
        <v>0</v>
      </c>
      <c r="D30" t="str">
        <f t="shared" si="2"/>
        <v/>
      </c>
      <c r="E30" s="5" t="str">
        <f t="shared" si="3"/>
        <v/>
      </c>
    </row>
    <row r="31" spans="1:5" x14ac:dyDescent="0.25">
      <c r="A31" t="s">
        <v>12</v>
      </c>
      <c r="B31" s="5">
        <f>SUMIF(TablaGastos[Category],"Office expense",TablaGastos[Amount])</f>
        <v>0</v>
      </c>
      <c r="D31" t="str">
        <f t="shared" si="2"/>
        <v/>
      </c>
      <c r="E31" s="5" t="str">
        <f t="shared" si="3"/>
        <v/>
      </c>
    </row>
    <row r="32" spans="1:5" x14ac:dyDescent="0.25">
      <c r="A32" t="s">
        <v>83</v>
      </c>
      <c r="B32" s="5">
        <f>SUMIF(TablaGastos[Category],"Other deductions",TablaGastos[Amount])</f>
        <v>0</v>
      </c>
      <c r="D32" t="str">
        <f t="shared" si="2"/>
        <v/>
      </c>
      <c r="E32" s="5" t="str">
        <f t="shared" si="3"/>
        <v/>
      </c>
    </row>
    <row r="33" spans="1:5" x14ac:dyDescent="0.25">
      <c r="A33" t="s">
        <v>14</v>
      </c>
      <c r="B33" s="5">
        <f>SUMIF(TablaGastos[Category],"Other expenses",TablaGastos[Amount])</f>
        <v>0</v>
      </c>
      <c r="D33" t="str">
        <f t="shared" si="2"/>
        <v/>
      </c>
      <c r="E33" s="5" t="str">
        <f t="shared" si="3"/>
        <v/>
      </c>
    </row>
    <row r="34" spans="1:5" x14ac:dyDescent="0.25">
      <c r="A34" t="s">
        <v>15</v>
      </c>
      <c r="B34" s="5">
        <f>SUMIF(TablaGastos[Category],"Pension, profit-sharing, etc., plans",TablaGastos[Amount])</f>
        <v>0</v>
      </c>
      <c r="D34" t="str">
        <f t="shared" si="2"/>
        <v/>
      </c>
      <c r="E34" s="5" t="str">
        <f t="shared" si="3"/>
        <v/>
      </c>
    </row>
    <row r="35" spans="1:5" x14ac:dyDescent="0.25">
      <c r="A35" t="s">
        <v>16</v>
      </c>
      <c r="B35" s="5">
        <f>SUMIF(TablaGastos[Category],"Rent or lease",TablaGastos[Amount])</f>
        <v>0</v>
      </c>
      <c r="D35" t="str">
        <f t="shared" si="2"/>
        <v/>
      </c>
      <c r="E35" s="5" t="str">
        <f t="shared" si="3"/>
        <v/>
      </c>
    </row>
    <row r="36" spans="1:5" x14ac:dyDescent="0.25">
      <c r="A36" t="s">
        <v>17</v>
      </c>
      <c r="B36" s="5">
        <f>SUMIF(TablaGastos[Category],"Repairs and maintenance",TablaGastos[Amount])</f>
        <v>0</v>
      </c>
      <c r="D36" t="str">
        <f t="shared" si="2"/>
        <v/>
      </c>
      <c r="E36" s="5" t="str">
        <f t="shared" si="3"/>
        <v/>
      </c>
    </row>
    <row r="37" spans="1:5" x14ac:dyDescent="0.25">
      <c r="A37" t="s">
        <v>84</v>
      </c>
      <c r="B37" s="5">
        <f>SUMIF(TablaGastos[Category],"Salaries and wages (less employment credits)",TablaGastos[Amount])</f>
        <v>0</v>
      </c>
      <c r="D37" t="str">
        <f t="shared" si="2"/>
        <v/>
      </c>
      <c r="E37" s="5" t="str">
        <f t="shared" si="3"/>
        <v/>
      </c>
    </row>
    <row r="38" spans="1:5" x14ac:dyDescent="0.25">
      <c r="A38" t="s">
        <v>89</v>
      </c>
      <c r="B38" s="5">
        <f>SUMIF(TablaGastos[Category],"Suscriptions",TablaGastos[Amount])</f>
        <v>0</v>
      </c>
      <c r="D38" t="str">
        <f t="shared" si="2"/>
        <v/>
      </c>
      <c r="E38" s="5" t="str">
        <f t="shared" si="3"/>
        <v/>
      </c>
    </row>
    <row r="39" spans="1:5" x14ac:dyDescent="0.25">
      <c r="A39" t="s">
        <v>18</v>
      </c>
      <c r="B39" s="5">
        <f>SUMIF(TablaGastos[Category],"Supplies",TablaGastos[Amount])</f>
        <v>0</v>
      </c>
      <c r="D39" t="str">
        <f t="shared" si="2"/>
        <v/>
      </c>
      <c r="E39" s="5" t="str">
        <f t="shared" si="3"/>
        <v/>
      </c>
    </row>
    <row r="40" spans="1:5" x14ac:dyDescent="0.25">
      <c r="A40" t="s">
        <v>67</v>
      </c>
      <c r="B40" s="5">
        <f>SUMIF(TablaGastos[Category],"Taxes and licenses",TablaGastos[Amount])</f>
        <v>0</v>
      </c>
      <c r="D40" t="str">
        <f t="shared" si="2"/>
        <v/>
      </c>
      <c r="E40" s="5" t="str">
        <f t="shared" si="3"/>
        <v/>
      </c>
    </row>
    <row r="41" spans="1:5" x14ac:dyDescent="0.25">
      <c r="A41" t="s">
        <v>19</v>
      </c>
      <c r="B41" s="5">
        <f>SUMIF(TablaGastos[Category],"Travel",TablaGastos[Amount])</f>
        <v>0</v>
      </c>
      <c r="D41" t="str">
        <f t="shared" si="2"/>
        <v/>
      </c>
      <c r="E41" s="5" t="str">
        <f t="shared" si="3"/>
        <v/>
      </c>
    </row>
    <row r="42" spans="1:5" x14ac:dyDescent="0.25">
      <c r="A42" t="s">
        <v>20</v>
      </c>
      <c r="B42" s="5">
        <f>SUMIF(TablaGastos[Category],"Utilities",TablaGastos[Amount])</f>
        <v>0</v>
      </c>
      <c r="D42" t="str">
        <f t="shared" si="2"/>
        <v/>
      </c>
      <c r="E42" s="5" t="str">
        <f t="shared" si="3"/>
        <v/>
      </c>
    </row>
    <row r="43" spans="1:5" x14ac:dyDescent="0.25">
      <c r="A43" t="s">
        <v>21</v>
      </c>
      <c r="B43" s="5">
        <f>SUMIF(TablaGastos[Category],"Wages",TablaGastos[Amount])</f>
        <v>0</v>
      </c>
    </row>
    <row r="44" spans="1:5" x14ac:dyDescent="0.25">
      <c r="A44" s="38" t="s">
        <v>78</v>
      </c>
      <c r="B44" s="39">
        <f>SUM(B18:B43)</f>
        <v>0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B9D86-6AF9-46CF-89C6-C8312229C46C}">
  <dimension ref="A1:J38"/>
  <sheetViews>
    <sheetView workbookViewId="0">
      <selection activeCell="J22" sqref="J22"/>
    </sheetView>
  </sheetViews>
  <sheetFormatPr baseColWidth="10" defaultRowHeight="15" x14ac:dyDescent="0.25"/>
  <cols>
    <col min="1" max="1" width="21.7109375" bestFit="1" customWidth="1"/>
    <col min="2" max="2" width="9.28515625" bestFit="1" customWidth="1"/>
    <col min="3" max="3" width="22" bestFit="1" customWidth="1"/>
    <col min="4" max="4" width="10.5703125" customWidth="1"/>
    <col min="5" max="5" width="15.140625" bestFit="1" customWidth="1"/>
    <col min="6" max="6" width="44.5703125" bestFit="1" customWidth="1"/>
    <col min="7" max="7" width="9.28515625" customWidth="1"/>
    <col min="8" max="8" width="22.5703125" bestFit="1" customWidth="1"/>
  </cols>
  <sheetData>
    <row r="1" spans="1:8" s="1" customFormat="1" ht="15.75" x14ac:dyDescent="0.25">
      <c r="A1" s="25" t="s">
        <v>0</v>
      </c>
      <c r="C1" s="26" t="s">
        <v>1</v>
      </c>
      <c r="E1" s="61" t="s">
        <v>113</v>
      </c>
      <c r="F1" s="27" t="s">
        <v>2</v>
      </c>
      <c r="G1"/>
      <c r="H1" s="22" t="s">
        <v>70</v>
      </c>
    </row>
    <row r="2" spans="1:8" s="1" customFormat="1" ht="15.75" x14ac:dyDescent="0.25">
      <c r="C2" s="1" t="s">
        <v>28</v>
      </c>
      <c r="E2" s="1" t="s">
        <v>114</v>
      </c>
      <c r="F2" s="2" t="s">
        <v>60</v>
      </c>
      <c r="G2" s="3"/>
      <c r="H2" t="s">
        <v>53</v>
      </c>
    </row>
    <row r="3" spans="1:8" s="1" customFormat="1" ht="15.75" x14ac:dyDescent="0.25">
      <c r="C3" s="1" t="s">
        <v>112</v>
      </c>
      <c r="E3" s="1" t="s">
        <v>115</v>
      </c>
      <c r="F3" s="2" t="s">
        <v>61</v>
      </c>
      <c r="G3" s="3"/>
      <c r="H3" t="s">
        <v>54</v>
      </c>
    </row>
    <row r="4" spans="1:8" x14ac:dyDescent="0.25">
      <c r="C4" t="s">
        <v>87</v>
      </c>
      <c r="E4" t="s">
        <v>114</v>
      </c>
      <c r="F4" s="2" t="s">
        <v>3</v>
      </c>
      <c r="G4" s="3"/>
      <c r="H4" t="s">
        <v>34</v>
      </c>
    </row>
    <row r="5" spans="1:8" x14ac:dyDescent="0.25">
      <c r="C5" t="s">
        <v>109</v>
      </c>
      <c r="E5" t="s">
        <v>114</v>
      </c>
      <c r="F5" s="2" t="s">
        <v>4</v>
      </c>
      <c r="G5" s="3"/>
      <c r="H5" t="s">
        <v>55</v>
      </c>
    </row>
    <row r="6" spans="1:8" x14ac:dyDescent="0.25">
      <c r="C6" s="3" t="s">
        <v>110</v>
      </c>
      <c r="E6" t="s">
        <v>116</v>
      </c>
      <c r="F6" s="2" t="s">
        <v>62</v>
      </c>
      <c r="G6" s="3"/>
      <c r="H6" t="s">
        <v>56</v>
      </c>
    </row>
    <row r="7" spans="1:8" x14ac:dyDescent="0.25">
      <c r="E7" t="s">
        <v>117</v>
      </c>
      <c r="F7" s="2" t="s">
        <v>5</v>
      </c>
      <c r="G7" s="3"/>
      <c r="H7" t="s">
        <v>57</v>
      </c>
    </row>
    <row r="8" spans="1:8" x14ac:dyDescent="0.25">
      <c r="E8" t="s">
        <v>117</v>
      </c>
      <c r="F8" s="2" t="s">
        <v>63</v>
      </c>
      <c r="G8" s="3"/>
      <c r="H8" t="s">
        <v>86</v>
      </c>
    </row>
    <row r="9" spans="1:8" x14ac:dyDescent="0.25">
      <c r="E9" t="s">
        <v>114</v>
      </c>
      <c r="F9" s="2" t="s">
        <v>6</v>
      </c>
      <c r="G9" s="3"/>
    </row>
    <row r="10" spans="1:8" x14ac:dyDescent="0.25">
      <c r="E10" t="s">
        <v>118</v>
      </c>
      <c r="F10" s="2" t="s">
        <v>80</v>
      </c>
      <c r="G10" s="3"/>
    </row>
    <row r="11" spans="1:8" x14ac:dyDescent="0.25">
      <c r="E11" t="s">
        <v>115</v>
      </c>
      <c r="F11" s="2" t="s">
        <v>7</v>
      </c>
      <c r="G11" s="3"/>
    </row>
    <row r="12" spans="1:8" x14ac:dyDescent="0.25">
      <c r="E12" t="s">
        <v>115</v>
      </c>
      <c r="F12" s="2" t="s">
        <v>8</v>
      </c>
      <c r="G12" s="3"/>
    </row>
    <row r="13" spans="1:8" x14ac:dyDescent="0.25">
      <c r="E13" t="s">
        <v>116</v>
      </c>
      <c r="F13" s="2" t="s">
        <v>64</v>
      </c>
      <c r="G13" s="3"/>
    </row>
    <row r="14" spans="1:8" x14ac:dyDescent="0.25">
      <c r="E14" t="s">
        <v>114</v>
      </c>
      <c r="F14" s="2" t="s">
        <v>81</v>
      </c>
      <c r="G14" s="3"/>
    </row>
    <row r="15" spans="1:8" x14ac:dyDescent="0.25">
      <c r="E15" t="s">
        <v>114</v>
      </c>
      <c r="F15" s="2" t="s">
        <v>9</v>
      </c>
      <c r="G15" s="3"/>
    </row>
    <row r="16" spans="1:8" x14ac:dyDescent="0.25">
      <c r="E16" t="s">
        <v>115</v>
      </c>
      <c r="F16" s="2" t="s">
        <v>65</v>
      </c>
      <c r="G16" s="3"/>
    </row>
    <row r="17" spans="5:10" x14ac:dyDescent="0.25">
      <c r="E17" t="s">
        <v>114</v>
      </c>
      <c r="F17" s="2" t="s">
        <v>10</v>
      </c>
      <c r="G17" s="3"/>
    </row>
    <row r="18" spans="5:10" x14ac:dyDescent="0.25">
      <c r="E18" t="s">
        <v>114</v>
      </c>
      <c r="F18" s="2" t="s">
        <v>82</v>
      </c>
      <c r="G18" s="3"/>
    </row>
    <row r="19" spans="5:10" x14ac:dyDescent="0.25">
      <c r="E19" t="s">
        <v>115</v>
      </c>
      <c r="F19" s="2" t="s">
        <v>11</v>
      </c>
      <c r="G19" s="3"/>
    </row>
    <row r="20" spans="5:10" x14ac:dyDescent="0.25">
      <c r="E20" t="s">
        <v>114</v>
      </c>
      <c r="F20" s="2" t="s">
        <v>12</v>
      </c>
      <c r="G20" s="3"/>
    </row>
    <row r="21" spans="5:10" x14ac:dyDescent="0.25">
      <c r="E21" t="s">
        <v>114</v>
      </c>
      <c r="F21" s="2" t="s">
        <v>13</v>
      </c>
      <c r="G21" s="3"/>
    </row>
    <row r="22" spans="5:10" x14ac:dyDescent="0.25">
      <c r="E22" t="s">
        <v>114</v>
      </c>
      <c r="F22" s="2" t="s">
        <v>83</v>
      </c>
      <c r="G22" s="3"/>
      <c r="J22" s="90"/>
    </row>
    <row r="23" spans="5:10" x14ac:dyDescent="0.25">
      <c r="E23" t="s">
        <v>114</v>
      </c>
      <c r="F23" s="2" t="s">
        <v>14</v>
      </c>
      <c r="G23" s="3"/>
    </row>
    <row r="24" spans="5:10" x14ac:dyDescent="0.25">
      <c r="E24" t="s">
        <v>119</v>
      </c>
      <c r="F24" s="28" t="s">
        <v>71</v>
      </c>
      <c r="G24" s="3"/>
    </row>
    <row r="25" spans="5:10" x14ac:dyDescent="0.25">
      <c r="E25" t="s">
        <v>116</v>
      </c>
      <c r="F25" s="2" t="s">
        <v>15</v>
      </c>
      <c r="G25" s="3"/>
    </row>
    <row r="26" spans="5:10" x14ac:dyDescent="0.25">
      <c r="E26" t="s">
        <v>114</v>
      </c>
      <c r="F26" s="2" t="s">
        <v>16</v>
      </c>
      <c r="G26" s="3"/>
    </row>
    <row r="27" spans="5:10" x14ac:dyDescent="0.25">
      <c r="E27" t="s">
        <v>114</v>
      </c>
      <c r="F27" s="2" t="s">
        <v>17</v>
      </c>
      <c r="G27" s="3"/>
    </row>
    <row r="28" spans="5:10" x14ac:dyDescent="0.25">
      <c r="E28" t="s">
        <v>116</v>
      </c>
      <c r="F28" s="2" t="s">
        <v>84</v>
      </c>
      <c r="G28" s="3"/>
    </row>
    <row r="29" spans="5:10" x14ac:dyDescent="0.25">
      <c r="E29" t="s">
        <v>117</v>
      </c>
      <c r="F29" s="2" t="s">
        <v>18</v>
      </c>
      <c r="G29" s="3"/>
    </row>
    <row r="30" spans="5:10" x14ac:dyDescent="0.25">
      <c r="E30" t="s">
        <v>114</v>
      </c>
      <c r="F30" s="48" t="s">
        <v>88</v>
      </c>
      <c r="G30" s="3"/>
    </row>
    <row r="31" spans="5:10" x14ac:dyDescent="0.25">
      <c r="E31" t="s">
        <v>118</v>
      </c>
      <c r="F31" s="2" t="s">
        <v>67</v>
      </c>
      <c r="G31" s="3"/>
    </row>
    <row r="32" spans="5:10" x14ac:dyDescent="0.25">
      <c r="E32" t="s">
        <v>114</v>
      </c>
      <c r="F32" s="2" t="s">
        <v>19</v>
      </c>
      <c r="G32" s="3"/>
    </row>
    <row r="33" spans="5:7" x14ac:dyDescent="0.25">
      <c r="E33" t="s">
        <v>114</v>
      </c>
      <c r="F33" s="2" t="s">
        <v>20</v>
      </c>
      <c r="G33" s="3"/>
    </row>
    <row r="34" spans="5:7" x14ac:dyDescent="0.25">
      <c r="E34" t="s">
        <v>114</v>
      </c>
      <c r="F34" s="2" t="s">
        <v>85</v>
      </c>
    </row>
    <row r="35" spans="5:7" x14ac:dyDescent="0.25">
      <c r="E35" t="s">
        <v>116</v>
      </c>
      <c r="F35" s="2" t="s">
        <v>21</v>
      </c>
    </row>
    <row r="36" spans="5:7" x14ac:dyDescent="0.25">
      <c r="E36" t="s">
        <v>119</v>
      </c>
      <c r="F36" s="48" t="s">
        <v>111</v>
      </c>
    </row>
    <row r="37" spans="5:7" x14ac:dyDescent="0.25">
      <c r="F37" s="48"/>
    </row>
    <row r="38" spans="5:7" x14ac:dyDescent="0.25">
      <c r="F38" s="48"/>
    </row>
  </sheetData>
  <conditionalFormatting sqref="E2:E36">
    <cfRule type="containsText" dxfId="5" priority="1" operator="containsText" text="COGS">
      <formula>NOT(ISERROR(SEARCH("COGS",E2)))</formula>
    </cfRule>
    <cfRule type="containsText" dxfId="4" priority="2" operator="containsText" text="Operating">
      <formula>NOT(ISERROR(SEARCH("Operating",E2)))</formula>
    </cfRule>
    <cfRule type="containsText" dxfId="3" priority="3" operator="containsText" text="Payroll">
      <formula>NOT(ISERROR(SEARCH("Payroll",E2)))</formula>
    </cfRule>
    <cfRule type="containsText" dxfId="2" priority="4" operator="containsText" text="Financial">
      <formula>NOT(ISERROR(SEARCH("Financial",E2)))</formula>
    </cfRule>
    <cfRule type="containsText" dxfId="1" priority="5" operator="containsText" text="Taxes">
      <formula>NOT(ISERROR(SEARCH("Taxes",E2)))</formula>
    </cfRule>
    <cfRule type="containsText" dxfId="0" priority="6" operator="containsText" text="Non-Deductible">
      <formula>NOT(ISERROR(SEARCH("Non-Deductible",E2)))</formula>
    </cfRule>
  </conditionalFormatting>
  <dataValidations count="1">
    <dataValidation type="list" allowBlank="1" showInputMessage="1" showErrorMessage="1" sqref="F1:F33" xr:uid="{9662D1EB-D373-4E30-B747-8C5682837447}">
      <formula1>INDIRECT("TablaCategorias[Chart of Account]")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E653F-26CE-4228-9F8A-B4DCA6B0B5DA}">
  <dimension ref="A1:G46"/>
  <sheetViews>
    <sheetView workbookViewId="0">
      <selection activeCell="B6" sqref="B6"/>
    </sheetView>
  </sheetViews>
  <sheetFormatPr baseColWidth="10" defaultRowHeight="15" x14ac:dyDescent="0.25"/>
  <cols>
    <col min="1" max="1" width="34.28515625" customWidth="1"/>
    <col min="2" max="2" width="19" customWidth="1"/>
    <col min="3" max="3" width="28.5703125" customWidth="1"/>
    <col min="4" max="4" width="34.28515625" customWidth="1"/>
    <col min="5" max="5" width="22.85546875" customWidth="1"/>
    <col min="6" max="6" width="19" customWidth="1"/>
    <col min="7" max="7" width="28.5703125" customWidth="1"/>
  </cols>
  <sheetData>
    <row r="1" spans="1:7" ht="18.75" x14ac:dyDescent="0.3">
      <c r="A1" s="83" t="s">
        <v>94</v>
      </c>
      <c r="B1" s="81"/>
      <c r="C1" s="81"/>
      <c r="D1" s="81"/>
      <c r="E1" s="81"/>
      <c r="F1" s="81"/>
      <c r="G1" s="81"/>
    </row>
    <row r="2" spans="1:7" x14ac:dyDescent="0.25">
      <c r="A2" s="84" t="s">
        <v>38</v>
      </c>
      <c r="B2" s="81"/>
      <c r="C2" s="81"/>
      <c r="D2" s="81"/>
      <c r="E2" s="81"/>
      <c r="F2" s="81"/>
      <c r="G2" s="81"/>
    </row>
    <row r="4" spans="1:7" x14ac:dyDescent="0.25">
      <c r="A4" s="53" t="s">
        <v>24</v>
      </c>
      <c r="B4" s="53" t="s">
        <v>95</v>
      </c>
      <c r="C4" s="53" t="s">
        <v>96</v>
      </c>
      <c r="D4" s="53" t="s">
        <v>29</v>
      </c>
      <c r="E4" s="53" t="s">
        <v>31</v>
      </c>
      <c r="F4" s="53" t="s">
        <v>27</v>
      </c>
      <c r="G4" s="53" t="s">
        <v>33</v>
      </c>
    </row>
    <row r="5" spans="1:7" x14ac:dyDescent="0.25">
      <c r="A5" s="87" t="s">
        <v>103</v>
      </c>
      <c r="B5" s="88"/>
      <c r="C5" s="88"/>
      <c r="D5" s="88"/>
      <c r="E5" s="88"/>
      <c r="F5" s="88"/>
      <c r="G5" s="89"/>
    </row>
    <row r="6" spans="1:7" x14ac:dyDescent="0.25">
      <c r="A6" s="32"/>
      <c r="B6" s="32"/>
      <c r="C6" s="32"/>
      <c r="D6" s="32"/>
      <c r="E6" s="32"/>
      <c r="F6" s="33"/>
      <c r="G6" s="32"/>
    </row>
    <row r="7" spans="1:7" x14ac:dyDescent="0.25">
      <c r="A7" s="32" t="str" cm="1">
        <f t="array" ref="A7">IFERROR(_xlfn._xlws.FILTER(TablaGastos[Date],TablaGastos[Category]="Contract labor"),"")</f>
        <v/>
      </c>
      <c r="B7" s="32" t="str" cm="1">
        <f t="array" ref="B7">IFERROR(_xlfn._xlws.FILTER(TablaGastos[Document Number],TablaGastos[Category]="Contract labor"),"")</f>
        <v/>
      </c>
      <c r="C7" s="32" t="str" cm="1">
        <f t="array" ref="C7">IFERROR(_xlfn._xlws.FILTER(TablaGastos[Supplier],TablaGastos[Category]="Contract labor"),"")</f>
        <v/>
      </c>
      <c r="D7" s="32" t="str" cm="1">
        <f t="array" ref="D7">IFERROR(_xlfn._xlws.FILTER(TablaGastos[Description],TablaGastos[Category]="Contract labor"),"")</f>
        <v/>
      </c>
      <c r="E7" s="32" t="str" cm="1">
        <f t="array" ref="E7">IFERROR(_xlfn._xlws.FILTER(TablaGastos[Payment Method],TablaGastos[Category]="Contract labor"),"")</f>
        <v/>
      </c>
      <c r="F7" s="33" t="str" cm="1">
        <f t="array" ref="F7">IFERROR(_xlfn._xlws.FILTER(TablaGastos[Amount],TablaGastos[Category]="Contract labor"),"")</f>
        <v/>
      </c>
      <c r="G7" s="32" t="str" cm="1">
        <f t="array" ref="G7">IFERROR(_xlfn._xlws.FILTER(TablaGastos[Notes],TablaGastos[Category]="Contract labor"),"")</f>
        <v/>
      </c>
    </row>
    <row r="8" spans="1:7" x14ac:dyDescent="0.25">
      <c r="A8" s="32"/>
      <c r="B8" s="32"/>
      <c r="C8" s="32"/>
      <c r="D8" s="32"/>
      <c r="E8" s="32"/>
      <c r="F8" s="33"/>
      <c r="G8" s="32"/>
    </row>
    <row r="9" spans="1:7" x14ac:dyDescent="0.25">
      <c r="A9" s="32"/>
      <c r="B9" s="32"/>
      <c r="C9" s="32"/>
      <c r="D9" s="32"/>
      <c r="E9" s="32"/>
      <c r="F9" s="33"/>
      <c r="G9" s="32"/>
    </row>
    <row r="10" spans="1:7" x14ac:dyDescent="0.25">
      <c r="A10" s="32"/>
      <c r="B10" s="32"/>
      <c r="C10" s="32"/>
      <c r="D10" s="32"/>
      <c r="E10" s="32"/>
      <c r="F10" s="33"/>
      <c r="G10" s="32"/>
    </row>
    <row r="11" spans="1:7" x14ac:dyDescent="0.25">
      <c r="A11" s="32"/>
      <c r="B11" s="32"/>
      <c r="C11" s="32"/>
      <c r="D11" s="32"/>
      <c r="E11" s="32"/>
      <c r="F11" s="33"/>
      <c r="G11" s="32"/>
    </row>
    <row r="12" spans="1:7" x14ac:dyDescent="0.25">
      <c r="A12" s="32"/>
      <c r="B12" s="32"/>
      <c r="C12" s="32"/>
      <c r="D12" s="32"/>
      <c r="E12" s="32"/>
      <c r="F12" s="33"/>
      <c r="G12" s="32"/>
    </row>
    <row r="13" spans="1:7" x14ac:dyDescent="0.25">
      <c r="A13" s="32"/>
      <c r="B13" s="32"/>
      <c r="C13" s="32"/>
      <c r="D13" s="32"/>
      <c r="E13" s="32"/>
      <c r="F13" s="33"/>
      <c r="G13" s="32"/>
    </row>
    <row r="14" spans="1:7" x14ac:dyDescent="0.25">
      <c r="A14" s="32"/>
      <c r="B14" s="32"/>
      <c r="C14" s="32"/>
      <c r="D14" s="32"/>
      <c r="E14" s="32"/>
      <c r="F14" s="33"/>
      <c r="G14" s="32"/>
    </row>
    <row r="15" spans="1:7" x14ac:dyDescent="0.25">
      <c r="A15" s="32"/>
      <c r="B15" s="32"/>
      <c r="C15" s="32"/>
      <c r="D15" s="32"/>
      <c r="E15" s="32"/>
      <c r="F15" s="33"/>
      <c r="G15" s="32"/>
    </row>
    <row r="16" spans="1:7" x14ac:dyDescent="0.25">
      <c r="A16" s="32"/>
      <c r="B16" s="32"/>
      <c r="C16" s="32"/>
      <c r="D16" s="32"/>
      <c r="E16" s="32"/>
      <c r="F16" s="33"/>
      <c r="G16" s="32"/>
    </row>
    <row r="17" spans="1:7" x14ac:dyDescent="0.25">
      <c r="A17" s="32"/>
      <c r="B17" s="32"/>
      <c r="C17" s="32"/>
      <c r="D17" s="32"/>
      <c r="E17" s="32"/>
      <c r="F17" s="33"/>
      <c r="G17" s="32"/>
    </row>
    <row r="18" spans="1:7" x14ac:dyDescent="0.25">
      <c r="A18" s="32"/>
      <c r="B18" s="32"/>
      <c r="C18" s="32"/>
      <c r="D18" s="32"/>
      <c r="E18" s="32"/>
      <c r="F18" s="33"/>
      <c r="G18" s="32"/>
    </row>
    <row r="19" spans="1:7" x14ac:dyDescent="0.25">
      <c r="A19" s="32"/>
      <c r="B19" s="32"/>
      <c r="C19" s="32"/>
      <c r="D19" s="32"/>
      <c r="E19" s="32"/>
      <c r="F19" s="33"/>
      <c r="G19" s="32"/>
    </row>
    <row r="20" spans="1:7" x14ac:dyDescent="0.25">
      <c r="A20" s="32"/>
      <c r="B20" s="32"/>
      <c r="C20" s="32"/>
      <c r="D20" s="32"/>
      <c r="E20" s="32"/>
      <c r="F20" s="33"/>
      <c r="G20" s="32"/>
    </row>
    <row r="22" spans="1:7" x14ac:dyDescent="0.25">
      <c r="A22" s="85" t="s">
        <v>97</v>
      </c>
      <c r="B22" s="81"/>
      <c r="C22" s="81"/>
      <c r="D22" s="81"/>
      <c r="E22" s="81"/>
      <c r="F22" s="81"/>
      <c r="G22" s="81"/>
    </row>
    <row r="24" spans="1:7" x14ac:dyDescent="0.25">
      <c r="A24" s="36" t="s">
        <v>98</v>
      </c>
      <c r="C24" s="54">
        <f>SUMIF(TablaGastos[Category],"Contract labor",TablaGastos[Amount])</f>
        <v>0</v>
      </c>
    </row>
    <row r="25" spans="1:7" x14ac:dyDescent="0.25">
      <c r="A25" s="36"/>
      <c r="C25" s="54"/>
    </row>
    <row r="27" spans="1:7" ht="15.75" x14ac:dyDescent="0.25">
      <c r="A27" s="6" t="s">
        <v>99</v>
      </c>
      <c r="C27" s="55">
        <f>C24</f>
        <v>0</v>
      </c>
    </row>
    <row r="29" spans="1:7" x14ac:dyDescent="0.25">
      <c r="A29" s="86" t="s">
        <v>100</v>
      </c>
      <c r="B29" s="81"/>
      <c r="C29" s="81"/>
      <c r="D29" s="81"/>
      <c r="E29" s="81"/>
      <c r="F29" s="81"/>
      <c r="G29" s="81"/>
    </row>
    <row r="31" spans="1:7" x14ac:dyDescent="0.25">
      <c r="A31" s="56" t="s">
        <v>96</v>
      </c>
      <c r="B31" s="56" t="s">
        <v>101</v>
      </c>
      <c r="C31" s="56" t="s">
        <v>102</v>
      </c>
    </row>
    <row r="32" spans="1:7" x14ac:dyDescent="0.25">
      <c r="A32" s="32" t="str" cm="1">
        <f t="array" ref="A32">IFERROR(_xlfn._xlws.FILTER(_xlfn.UNIQUE(TablaGastos[Supplier]),COUNTIF(TablaGastos[Category],"Contract labor")&gt;0),"No hay contratistas")</f>
        <v>No hay contratistas</v>
      </c>
      <c r="B32" s="33">
        <f>IFERROR(SUMIFS(TablaGastos[Amount],TablaGastos[Category],"Contract labor",TablaGastos[Supplier],A32),"")</f>
        <v>0</v>
      </c>
      <c r="C32" s="32">
        <f>IFERROR(COUNTIFS(TablaGastos[Category],"Contract labor",TablaGastos[Supplier],A32),"")</f>
        <v>0</v>
      </c>
    </row>
    <row r="33" spans="1:3" x14ac:dyDescent="0.25">
      <c r="A33" s="32"/>
      <c r="B33" s="33"/>
      <c r="C33" s="32"/>
    </row>
    <row r="34" spans="1:3" x14ac:dyDescent="0.25">
      <c r="A34" s="32"/>
      <c r="B34" s="33"/>
      <c r="C34" s="32"/>
    </row>
    <row r="35" spans="1:3" x14ac:dyDescent="0.25">
      <c r="A35" s="32"/>
      <c r="B35" s="33"/>
      <c r="C35" s="32"/>
    </row>
    <row r="36" spans="1:3" x14ac:dyDescent="0.25">
      <c r="A36" s="32"/>
      <c r="B36" s="33"/>
      <c r="C36" s="32"/>
    </row>
    <row r="37" spans="1:3" x14ac:dyDescent="0.25">
      <c r="A37" s="32"/>
      <c r="B37" s="33"/>
      <c r="C37" s="32"/>
    </row>
    <row r="38" spans="1:3" x14ac:dyDescent="0.25">
      <c r="A38" s="32"/>
      <c r="B38" s="33"/>
      <c r="C38" s="32"/>
    </row>
    <row r="39" spans="1:3" x14ac:dyDescent="0.25">
      <c r="A39" s="32"/>
      <c r="B39" s="33"/>
      <c r="C39" s="32"/>
    </row>
    <row r="40" spans="1:3" x14ac:dyDescent="0.25">
      <c r="A40" s="32"/>
      <c r="B40" s="33"/>
      <c r="C40" s="32"/>
    </row>
    <row r="42" spans="1:3" x14ac:dyDescent="0.25">
      <c r="A42" s="36" t="s">
        <v>104</v>
      </c>
    </row>
    <row r="43" spans="1:3" x14ac:dyDescent="0.25">
      <c r="A43" s="57" t="s">
        <v>105</v>
      </c>
    </row>
    <row r="44" spans="1:3" x14ac:dyDescent="0.25">
      <c r="A44" s="57" t="s">
        <v>106</v>
      </c>
    </row>
    <row r="45" spans="1:3" x14ac:dyDescent="0.25">
      <c r="A45" s="57" t="s">
        <v>107</v>
      </c>
    </row>
    <row r="46" spans="1:3" x14ac:dyDescent="0.25">
      <c r="A46" s="57" t="s">
        <v>108</v>
      </c>
    </row>
  </sheetData>
  <mergeCells count="5">
    <mergeCell ref="A1:G1"/>
    <mergeCell ref="A2:G2"/>
    <mergeCell ref="A22:G22"/>
    <mergeCell ref="A29:G29"/>
    <mergeCell ref="A5:G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8452DE-A2F1-4C96-8344-142B06D3DC83}">
  <dimension ref="A1:F24"/>
  <sheetViews>
    <sheetView workbookViewId="0"/>
  </sheetViews>
  <sheetFormatPr baseColWidth="10" defaultRowHeight="15" x14ac:dyDescent="0.25"/>
  <cols>
    <col min="1" max="1" width="9.5703125" style="92" bestFit="1" customWidth="1"/>
    <col min="2" max="2" width="24.7109375" bestFit="1" customWidth="1"/>
    <col min="3" max="3" width="12.85546875" bestFit="1" customWidth="1"/>
    <col min="4" max="4" width="17.85546875" bestFit="1" customWidth="1"/>
    <col min="5" max="5" width="24" bestFit="1" customWidth="1"/>
    <col min="6" max="6" width="7.85546875" style="94" bestFit="1" customWidth="1"/>
  </cols>
  <sheetData>
    <row r="1" spans="1:6" x14ac:dyDescent="0.25">
      <c r="A1" s="91" t="s">
        <v>132</v>
      </c>
      <c r="B1" s="49" t="s">
        <v>133</v>
      </c>
      <c r="C1" s="49" t="s">
        <v>134</v>
      </c>
      <c r="D1" s="49" t="s">
        <v>135</v>
      </c>
      <c r="E1" s="49" t="s">
        <v>29</v>
      </c>
      <c r="F1" s="93" t="s">
        <v>136</v>
      </c>
    </row>
    <row r="2" spans="1:6" x14ac:dyDescent="0.25">
      <c r="A2" s="92">
        <v>1000</v>
      </c>
      <c r="B2" t="s">
        <v>137</v>
      </c>
      <c r="C2" t="s">
        <v>138</v>
      </c>
      <c r="D2" t="s">
        <v>139</v>
      </c>
      <c r="E2" t="s">
        <v>140</v>
      </c>
    </row>
    <row r="3" spans="1:6" x14ac:dyDescent="0.25">
      <c r="A3" s="92">
        <v>1010</v>
      </c>
      <c r="B3" t="s">
        <v>141</v>
      </c>
      <c r="C3" t="s">
        <v>138</v>
      </c>
      <c r="D3" t="s">
        <v>139</v>
      </c>
      <c r="E3" t="s">
        <v>142</v>
      </c>
    </row>
    <row r="4" spans="1:6" x14ac:dyDescent="0.25">
      <c r="A4" s="92">
        <v>1020</v>
      </c>
      <c r="B4" t="s">
        <v>143</v>
      </c>
      <c r="C4" t="s">
        <v>138</v>
      </c>
      <c r="D4" t="s">
        <v>139</v>
      </c>
      <c r="E4" t="s">
        <v>144</v>
      </c>
    </row>
    <row r="5" spans="1:6" x14ac:dyDescent="0.25">
      <c r="A5" s="92">
        <v>1100</v>
      </c>
      <c r="B5" t="s">
        <v>145</v>
      </c>
      <c r="C5" t="s">
        <v>138</v>
      </c>
      <c r="D5" t="s">
        <v>139</v>
      </c>
      <c r="E5" t="s">
        <v>146</v>
      </c>
    </row>
    <row r="6" spans="1:6" x14ac:dyDescent="0.25">
      <c r="A6" s="92">
        <v>1200</v>
      </c>
      <c r="B6" t="s">
        <v>147</v>
      </c>
      <c r="C6" t="s">
        <v>138</v>
      </c>
      <c r="D6" t="s">
        <v>139</v>
      </c>
      <c r="E6" t="s">
        <v>148</v>
      </c>
    </row>
    <row r="7" spans="1:6" x14ac:dyDescent="0.25">
      <c r="A7" s="92">
        <v>1500</v>
      </c>
      <c r="B7" t="s">
        <v>149</v>
      </c>
      <c r="C7" t="s">
        <v>138</v>
      </c>
      <c r="D7" t="s">
        <v>150</v>
      </c>
      <c r="E7" t="s">
        <v>151</v>
      </c>
    </row>
    <row r="8" spans="1:6" x14ac:dyDescent="0.25">
      <c r="A8" s="92">
        <v>1510</v>
      </c>
      <c r="B8" t="s">
        <v>152</v>
      </c>
      <c r="C8" t="s">
        <v>138</v>
      </c>
      <c r="D8" t="s">
        <v>150</v>
      </c>
      <c r="E8" t="s">
        <v>153</v>
      </c>
    </row>
    <row r="9" spans="1:6" x14ac:dyDescent="0.25">
      <c r="A9" s="92">
        <v>2000</v>
      </c>
      <c r="B9" t="s">
        <v>154</v>
      </c>
      <c r="C9" t="s">
        <v>155</v>
      </c>
      <c r="D9" t="s">
        <v>156</v>
      </c>
      <c r="E9" t="s">
        <v>157</v>
      </c>
    </row>
    <row r="10" spans="1:6" x14ac:dyDescent="0.25">
      <c r="A10" s="92">
        <v>2100</v>
      </c>
      <c r="B10" t="s">
        <v>158</v>
      </c>
      <c r="C10" t="s">
        <v>155</v>
      </c>
      <c r="D10" t="s">
        <v>156</v>
      </c>
      <c r="E10" t="s">
        <v>159</v>
      </c>
    </row>
    <row r="11" spans="1:6" x14ac:dyDescent="0.25">
      <c r="A11" s="92">
        <v>2500</v>
      </c>
      <c r="B11" t="s">
        <v>160</v>
      </c>
      <c r="C11" t="s">
        <v>155</v>
      </c>
      <c r="D11" t="s">
        <v>161</v>
      </c>
      <c r="E11" t="s">
        <v>162</v>
      </c>
    </row>
    <row r="12" spans="1:6" x14ac:dyDescent="0.25">
      <c r="A12" s="92">
        <v>3000</v>
      </c>
      <c r="B12" t="s">
        <v>163</v>
      </c>
      <c r="C12" t="s">
        <v>164</v>
      </c>
      <c r="D12" t="s">
        <v>165</v>
      </c>
      <c r="E12" t="s">
        <v>166</v>
      </c>
    </row>
    <row r="13" spans="1:6" x14ac:dyDescent="0.25">
      <c r="A13" s="92">
        <v>3100</v>
      </c>
      <c r="B13" t="s">
        <v>167</v>
      </c>
      <c r="C13" t="s">
        <v>164</v>
      </c>
      <c r="D13" t="s">
        <v>165</v>
      </c>
      <c r="E13" t="s">
        <v>168</v>
      </c>
    </row>
    <row r="14" spans="1:6" x14ac:dyDescent="0.25">
      <c r="A14" s="92">
        <v>4000</v>
      </c>
      <c r="B14" t="s">
        <v>169</v>
      </c>
      <c r="C14" t="s">
        <v>170</v>
      </c>
      <c r="D14" t="s">
        <v>171</v>
      </c>
      <c r="E14" t="s">
        <v>172</v>
      </c>
    </row>
    <row r="15" spans="1:6" x14ac:dyDescent="0.25">
      <c r="A15" s="92">
        <v>4100</v>
      </c>
      <c r="B15" t="s">
        <v>173</v>
      </c>
      <c r="C15" t="s">
        <v>170</v>
      </c>
      <c r="D15" t="s">
        <v>171</v>
      </c>
      <c r="E15" t="s">
        <v>174</v>
      </c>
    </row>
    <row r="16" spans="1:6" x14ac:dyDescent="0.25">
      <c r="A16" s="92">
        <v>4200</v>
      </c>
      <c r="B16" t="s">
        <v>175</v>
      </c>
      <c r="C16" t="s">
        <v>170</v>
      </c>
      <c r="D16" t="s">
        <v>176</v>
      </c>
      <c r="E16" t="s">
        <v>177</v>
      </c>
    </row>
    <row r="17" spans="1:5" x14ac:dyDescent="0.25">
      <c r="A17" s="92">
        <v>5000</v>
      </c>
      <c r="B17" t="s">
        <v>178</v>
      </c>
      <c r="C17" t="s">
        <v>179</v>
      </c>
      <c r="D17" t="s">
        <v>180</v>
      </c>
      <c r="E17" t="s">
        <v>181</v>
      </c>
    </row>
    <row r="18" spans="1:5" x14ac:dyDescent="0.25">
      <c r="A18" s="92">
        <v>5100</v>
      </c>
      <c r="B18" t="s">
        <v>182</v>
      </c>
      <c r="C18" t="s">
        <v>179</v>
      </c>
      <c r="D18" t="s">
        <v>183</v>
      </c>
      <c r="E18" t="s">
        <v>184</v>
      </c>
    </row>
    <row r="19" spans="1:5" x14ac:dyDescent="0.25">
      <c r="A19" s="92">
        <v>5200</v>
      </c>
      <c r="B19" t="s">
        <v>185</v>
      </c>
      <c r="C19" t="s">
        <v>179</v>
      </c>
      <c r="D19" t="s">
        <v>183</v>
      </c>
      <c r="E19" t="s">
        <v>186</v>
      </c>
    </row>
    <row r="20" spans="1:5" x14ac:dyDescent="0.25">
      <c r="A20" s="92">
        <v>5300</v>
      </c>
      <c r="B20" t="s">
        <v>187</v>
      </c>
      <c r="C20" t="s">
        <v>179</v>
      </c>
      <c r="D20" t="s">
        <v>183</v>
      </c>
      <c r="E20" t="s">
        <v>188</v>
      </c>
    </row>
    <row r="21" spans="1:5" x14ac:dyDescent="0.25">
      <c r="A21" s="92">
        <v>5400</v>
      </c>
      <c r="B21" t="s">
        <v>189</v>
      </c>
      <c r="C21" t="s">
        <v>179</v>
      </c>
      <c r="D21" t="s">
        <v>183</v>
      </c>
      <c r="E21" t="s">
        <v>190</v>
      </c>
    </row>
    <row r="22" spans="1:5" x14ac:dyDescent="0.25">
      <c r="A22" s="92">
        <v>5500</v>
      </c>
      <c r="B22" t="s">
        <v>191</v>
      </c>
      <c r="C22" t="s">
        <v>179</v>
      </c>
      <c r="D22" t="s">
        <v>183</v>
      </c>
      <c r="E22" t="s">
        <v>192</v>
      </c>
    </row>
    <row r="23" spans="1:5" x14ac:dyDescent="0.25">
      <c r="A23" s="92">
        <v>5600</v>
      </c>
      <c r="B23" t="s">
        <v>193</v>
      </c>
      <c r="C23" t="s">
        <v>179</v>
      </c>
      <c r="D23" t="s">
        <v>183</v>
      </c>
      <c r="E23" t="s">
        <v>194</v>
      </c>
    </row>
    <row r="24" spans="1:5" x14ac:dyDescent="0.25">
      <c r="A24" s="92">
        <v>5700</v>
      </c>
      <c r="B24" t="s">
        <v>195</v>
      </c>
      <c r="C24" t="s">
        <v>179</v>
      </c>
      <c r="D24" t="s">
        <v>196</v>
      </c>
      <c r="E24" t="s">
        <v>197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4423-EAD6-414E-9270-A0ADEE7CF9FE}">
  <dimension ref="A1:I2"/>
  <sheetViews>
    <sheetView tabSelected="1" workbookViewId="0"/>
  </sheetViews>
  <sheetFormatPr baseColWidth="10" defaultRowHeight="15" x14ac:dyDescent="0.25"/>
  <cols>
    <col min="1" max="1" width="12.42578125" bestFit="1" customWidth="1"/>
    <col min="2" max="2" width="5.140625" style="4" bestFit="1" customWidth="1"/>
    <col min="3" max="3" width="11.140625" bestFit="1" customWidth="1"/>
    <col min="4" max="4" width="9.5703125" bestFit="1" customWidth="1"/>
    <col min="5" max="5" width="13.85546875" bestFit="1" customWidth="1"/>
    <col min="6" max="6" width="5.85546875" style="94" bestFit="1" customWidth="1"/>
    <col min="7" max="7" width="6.42578125" style="94" bestFit="1" customWidth="1"/>
    <col min="8" max="8" width="10.140625" bestFit="1" customWidth="1"/>
    <col min="9" max="9" width="6.28515625" bestFit="1" customWidth="1"/>
  </cols>
  <sheetData>
    <row r="1" spans="1:9" x14ac:dyDescent="0.25">
      <c r="A1" s="95" t="s">
        <v>198</v>
      </c>
      <c r="B1" s="96" t="s">
        <v>24</v>
      </c>
      <c r="C1" s="95" t="s">
        <v>29</v>
      </c>
      <c r="D1" s="95" t="s">
        <v>132</v>
      </c>
      <c r="E1" s="95" t="s">
        <v>133</v>
      </c>
      <c r="F1" s="97" t="s">
        <v>199</v>
      </c>
      <c r="G1" s="97" t="s">
        <v>200</v>
      </c>
      <c r="H1" s="95" t="s">
        <v>201</v>
      </c>
      <c r="I1" s="95" t="s">
        <v>33</v>
      </c>
    </row>
    <row r="2" spans="1:9" x14ac:dyDescent="0.25">
      <c r="A2" s="98" t="s">
        <v>202</v>
      </c>
      <c r="B2" s="99"/>
      <c r="C2" s="98"/>
      <c r="D2" s="98"/>
      <c r="E2" s="98"/>
      <c r="F2" s="100"/>
      <c r="G2" s="100"/>
      <c r="H2" s="98"/>
      <c r="I2" s="98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13DE0-D1C4-4B99-9A2A-042AA5B06350}">
  <dimension ref="A1:I2"/>
  <sheetViews>
    <sheetView workbookViewId="0"/>
  </sheetViews>
  <sheetFormatPr baseColWidth="10" defaultRowHeight="15" x14ac:dyDescent="0.25"/>
  <cols>
    <col min="1" max="1" width="7.140625" bestFit="1" customWidth="1"/>
    <col min="2" max="2" width="5.140625" style="4" bestFit="1" customWidth="1"/>
    <col min="3" max="3" width="9.5703125" bestFit="1" customWidth="1"/>
    <col min="4" max="4" width="13.85546875" bestFit="1" customWidth="1"/>
    <col min="5" max="5" width="11.140625" bestFit="1" customWidth="1"/>
    <col min="6" max="6" width="5.85546875" style="94" bestFit="1" customWidth="1"/>
    <col min="7" max="7" width="6.42578125" style="94" bestFit="1" customWidth="1"/>
    <col min="8" max="8" width="7.85546875" style="94" bestFit="1" customWidth="1"/>
    <col min="9" max="9" width="10.140625" bestFit="1" customWidth="1"/>
  </cols>
  <sheetData>
    <row r="1" spans="1:9" x14ac:dyDescent="0.25">
      <c r="A1" s="101" t="s">
        <v>203</v>
      </c>
      <c r="B1" s="102" t="s">
        <v>24</v>
      </c>
      <c r="C1" s="101" t="s">
        <v>132</v>
      </c>
      <c r="D1" s="101" t="s">
        <v>133</v>
      </c>
      <c r="E1" s="101" t="s">
        <v>29</v>
      </c>
      <c r="F1" s="103" t="s">
        <v>199</v>
      </c>
      <c r="G1" s="103" t="s">
        <v>200</v>
      </c>
      <c r="H1" s="103" t="s">
        <v>136</v>
      </c>
      <c r="I1" s="101" t="s">
        <v>201</v>
      </c>
    </row>
    <row r="2" spans="1:9" x14ac:dyDescent="0.25">
      <c r="A2" s="98" t="s">
        <v>204</v>
      </c>
      <c r="B2" s="99"/>
      <c r="C2" s="98"/>
      <c r="D2" s="98"/>
      <c r="E2" s="98"/>
      <c r="F2" s="100"/>
      <c r="G2" s="100"/>
      <c r="H2" s="100"/>
      <c r="I2" s="9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48AD9-D15C-487F-A1F5-A9FB87B6EAD9}">
  <dimension ref="A1:D26"/>
  <sheetViews>
    <sheetView workbookViewId="0">
      <selection activeCell="B6" sqref="B6"/>
    </sheetView>
  </sheetViews>
  <sheetFormatPr baseColWidth="10" defaultRowHeight="15" x14ac:dyDescent="0.25"/>
  <cols>
    <col min="1" max="1" width="9.5703125" bestFit="1" customWidth="1"/>
    <col min="2" max="2" width="13.85546875" bestFit="1" customWidth="1"/>
    <col min="3" max="3" width="5.85546875" style="94" bestFit="1" customWidth="1"/>
    <col min="4" max="4" width="6.42578125" style="94" bestFit="1" customWidth="1"/>
  </cols>
  <sheetData>
    <row r="1" spans="1:4" ht="18.75" x14ac:dyDescent="0.3">
      <c r="A1" s="105" t="s">
        <v>215</v>
      </c>
      <c r="B1" s="81"/>
      <c r="C1" s="81"/>
      <c r="D1" s="81"/>
    </row>
    <row r="2" spans="1:4" x14ac:dyDescent="0.25">
      <c r="A2" s="106" t="s">
        <v>132</v>
      </c>
      <c r="B2" s="106" t="s">
        <v>133</v>
      </c>
      <c r="C2" s="108" t="s">
        <v>199</v>
      </c>
      <c r="D2" s="108" t="s">
        <v>200</v>
      </c>
    </row>
    <row r="26" spans="1:4" x14ac:dyDescent="0.25">
      <c r="A26" s="107" t="s">
        <v>216</v>
      </c>
      <c r="B26" s="107"/>
      <c r="C26" s="109"/>
      <c r="D26" s="109"/>
    </row>
  </sheetData>
  <mergeCells count="1">
    <mergeCell ref="A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42976-1917-4A09-868F-F1C770FB68BA}">
  <dimension ref="A1:I1"/>
  <sheetViews>
    <sheetView workbookViewId="0"/>
  </sheetViews>
  <sheetFormatPr baseColWidth="10" defaultRowHeight="15" x14ac:dyDescent="0.25"/>
  <cols>
    <col min="1" max="1" width="11.85546875" bestFit="1" customWidth="1"/>
    <col min="2" max="2" width="6.28515625" bestFit="1" customWidth="1"/>
    <col min="3" max="3" width="5.85546875" bestFit="1" customWidth="1"/>
    <col min="4" max="4" width="6.7109375" bestFit="1" customWidth="1"/>
    <col min="5" max="5" width="8.140625" bestFit="1" customWidth="1"/>
    <col min="6" max="6" width="4.42578125" bestFit="1" customWidth="1"/>
    <col min="7" max="7" width="11.85546875" style="94" bestFit="1" customWidth="1"/>
    <col min="8" max="8" width="11.28515625" style="94" bestFit="1" customWidth="1"/>
    <col min="9" max="9" width="6.42578125" bestFit="1" customWidth="1"/>
  </cols>
  <sheetData>
    <row r="1" spans="1:9" x14ac:dyDescent="0.25">
      <c r="A1" s="49" t="s">
        <v>205</v>
      </c>
      <c r="B1" s="49" t="s">
        <v>206</v>
      </c>
      <c r="C1" s="49" t="s">
        <v>207</v>
      </c>
      <c r="D1" s="49" t="s">
        <v>208</v>
      </c>
      <c r="E1" s="49" t="s">
        <v>209</v>
      </c>
      <c r="F1" s="49" t="s">
        <v>210</v>
      </c>
      <c r="G1" s="93" t="s">
        <v>211</v>
      </c>
      <c r="H1" s="93" t="s">
        <v>212</v>
      </c>
      <c r="I1" s="49" t="s">
        <v>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95485-DBE7-44DE-8C5A-30E4947A1DE9}">
  <dimension ref="A1:I1"/>
  <sheetViews>
    <sheetView workbookViewId="0"/>
  </sheetViews>
  <sheetFormatPr baseColWidth="10" defaultRowHeight="15" x14ac:dyDescent="0.25"/>
  <cols>
    <col min="1" max="1" width="9.85546875" bestFit="1" customWidth="1"/>
    <col min="2" max="2" width="6.28515625" bestFit="1" customWidth="1"/>
    <col min="3" max="3" width="5.85546875" bestFit="1" customWidth="1"/>
    <col min="4" max="4" width="6.7109375" bestFit="1" customWidth="1"/>
    <col min="5" max="5" width="8.140625" bestFit="1" customWidth="1"/>
    <col min="6" max="6" width="4.42578125" bestFit="1" customWidth="1"/>
    <col min="7" max="7" width="11.85546875" style="94" bestFit="1" customWidth="1"/>
    <col min="8" max="8" width="14.7109375" bestFit="1" customWidth="1"/>
    <col min="9" max="9" width="6.42578125" bestFit="1" customWidth="1"/>
  </cols>
  <sheetData>
    <row r="1" spans="1:9" x14ac:dyDescent="0.25">
      <c r="A1" s="51" t="s">
        <v>213</v>
      </c>
      <c r="B1" s="51" t="s">
        <v>206</v>
      </c>
      <c r="C1" s="51" t="s">
        <v>207</v>
      </c>
      <c r="D1" s="51" t="s">
        <v>208</v>
      </c>
      <c r="E1" s="51" t="s">
        <v>209</v>
      </c>
      <c r="F1" s="51" t="s">
        <v>210</v>
      </c>
      <c r="G1" s="104" t="s">
        <v>211</v>
      </c>
      <c r="H1" s="51" t="s">
        <v>214</v>
      </c>
      <c r="I1" s="51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</vt:i4>
      </vt:variant>
    </vt:vector>
  </HeadingPairs>
  <TitlesOfParts>
    <vt:vector size="14" baseType="lpstr">
      <vt:lpstr>Income</vt:lpstr>
      <vt:lpstr>Expenses</vt:lpstr>
      <vt:lpstr>P&amp;L</vt:lpstr>
      <vt:lpstr>P&amp;L Report</vt:lpstr>
      <vt:lpstr>Dashboard</vt:lpstr>
      <vt:lpstr>Settings</vt:lpstr>
      <vt:lpstr>Contract Labor</vt:lpstr>
      <vt:lpstr>Chart of Accounts</vt:lpstr>
      <vt:lpstr>Journal Entry</vt:lpstr>
      <vt:lpstr>General Ledger</vt:lpstr>
      <vt:lpstr>Trial Balance</vt:lpstr>
      <vt:lpstr>Customers</vt:lpstr>
      <vt:lpstr>Vendors</vt:lpstr>
      <vt:lpstr>Expenses!Área_de_impresión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Rodriguez</dc:creator>
  <cp:lastModifiedBy>Ray Rodriguez</cp:lastModifiedBy>
  <cp:lastPrinted>2026-05-21T18:26:15Z</cp:lastPrinted>
  <dcterms:created xsi:type="dcterms:W3CDTF">2026-05-19T16:06:18Z</dcterms:created>
  <dcterms:modified xsi:type="dcterms:W3CDTF">2026-05-26T13:38:46Z</dcterms:modified>
</cp:coreProperties>
</file>