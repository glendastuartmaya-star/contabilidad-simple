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83" firstSheet="4" activeTab="8" autoFilterDateGrouping="1"/>
  </bookViews>
  <sheets>
    <sheet name="Income" sheetId="1" state="visible" r:id="rId1"/>
    <sheet name="Expenses" sheetId="2" state="visible" r:id="rId2"/>
    <sheet name="P&amp;L" sheetId="3" state="visible" r:id="rId3"/>
    <sheet name="P&amp;L Report" sheetId="4" state="visible" r:id="rId4"/>
    <sheet name="Dashboard" sheetId="5" state="visible" r:id="rId5"/>
    <sheet name="Settings" sheetId="6" state="visible" r:id="rId6"/>
    <sheet name="Contract Labor" sheetId="7" state="visible" r:id="rId7"/>
    <sheet name="Chart of Accounts" sheetId="8" state="visible" r:id="rId8"/>
    <sheet name="Journal Entry" sheetId="9" state="visible" r:id="rId9"/>
    <sheet name="General Ledger" sheetId="10" state="visible" r:id="rId10"/>
    <sheet name="Trial Balance" sheetId="11" state="visible" r:id="rId11"/>
    <sheet name="Customers" sheetId="12" state="visible" r:id="rId12"/>
    <sheet name="Vendor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.00"/>
    <numFmt numFmtId="166" formatCode="_(&quot;$&quot;* #,##0.00_);_(&quot;$&quot;* \(#,##0.00\);_(&quot;$&quot;* &quot;-&quot;??_);_(@_)"/>
    <numFmt numFmtId="167" formatCode="0000"/>
    <numFmt numFmtId="168" formatCode="yyyy-mm-dd h:mm:ss"/>
  </numFmts>
  <fonts count="3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922B2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1F4E79"/>
      <sz val="18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5D6D7E"/>
      <sz val="11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rgb="FF006100"/>
      <sz val="11"/>
      <scheme val="minor"/>
    </font>
    <font>
      <name val="Calibri"/>
      <family val="2"/>
      <color rgb="FF1F4E79"/>
      <sz val="11"/>
      <scheme val="minor"/>
    </font>
    <font>
      <name val="Calibri"/>
      <family val="2"/>
      <color rgb="FF5B2C6F"/>
      <sz val="11"/>
      <scheme val="minor"/>
    </font>
    <font>
      <name val="Calibri"/>
      <family val="2"/>
      <color rgb="FF806000"/>
      <sz val="11"/>
      <scheme val="minor"/>
    </font>
    <font>
      <name val="Calibri"/>
      <family val="2"/>
      <color rgb="FFC65911"/>
      <sz val="11"/>
      <scheme val="minor"/>
    </font>
    <font>
      <name val="Calibri"/>
      <family val="2"/>
      <b val="1"/>
      <color rgb="FF806000"/>
      <sz val="11"/>
      <scheme val="minor"/>
    </font>
    <font>
      <name val="Calibri"/>
      <family val="2"/>
      <b val="1"/>
      <color rgb="FF5B2C6F"/>
      <sz val="11"/>
      <scheme val="minor"/>
    </font>
    <font>
      <name val="Calibri"/>
      <family val="2"/>
      <b val="1"/>
      <color rgb="FFC65911"/>
      <sz val="11"/>
      <scheme val="minor"/>
    </font>
    <font>
      <name val="Arial"/>
      <family val="2"/>
      <color rgb="FF000000"/>
      <sz val="9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</fonts>
  <fills count="3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1" fillId="0" borderId="0"/>
  </cellStyleXfs>
  <cellXfs count="115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10" fillId="5" borderId="0" applyAlignment="1" pivotButton="0" quotePrefix="0" xfId="0">
      <alignment horizontal="left"/>
    </xf>
    <xf numFmtId="165" fontId="10" fillId="5" borderId="0" applyAlignment="1" pivotButton="0" quotePrefix="0" xfId="0">
      <alignment horizontal="right"/>
    </xf>
    <xf numFmtId="0" fontId="11" fillId="6" borderId="0" applyAlignment="1" pivotButton="0" quotePrefix="0" xfId="0">
      <alignment horizontal="left"/>
    </xf>
    <xf numFmtId="165" fontId="11" fillId="6" borderId="0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165" fontId="2" fillId="7" borderId="1" applyAlignment="1" pivotButton="0" quotePrefix="0" xfId="0">
      <alignment horizontal="right"/>
    </xf>
    <xf numFmtId="0" fontId="2" fillId="8" borderId="1" applyAlignment="1" pivotButton="0" quotePrefix="0" xfId="0">
      <alignment horizontal="left"/>
    </xf>
    <xf numFmtId="165" fontId="2" fillId="8" borderId="1" applyAlignment="1" pivotButton="0" quotePrefix="0" xfId="0">
      <alignment horizontal="right"/>
    </xf>
    <xf numFmtId="0" fontId="7" fillId="9" borderId="2" applyAlignment="1" pivotButton="0" quotePrefix="0" xfId="0">
      <alignment horizontal="left"/>
    </xf>
    <xf numFmtId="165" fontId="7" fillId="9" borderId="2" applyAlignment="1" pivotButton="0" quotePrefix="0" xfId="0">
      <alignment horizontal="right"/>
    </xf>
    <xf numFmtId="0" fontId="6" fillId="10" borderId="0" pivotButton="0" quotePrefix="0" xfId="0"/>
    <xf numFmtId="0" fontId="5" fillId="12" borderId="0" pivotButton="0" quotePrefix="0" xfId="0"/>
    <xf numFmtId="165" fontId="5" fillId="12" borderId="0" pivotButton="0" quotePrefix="0" xfId="0"/>
    <xf numFmtId="0" fontId="5" fillId="13" borderId="0" applyAlignment="1" pivotButton="0" quotePrefix="0" xfId="0">
      <alignment horizontal="center"/>
    </xf>
    <xf numFmtId="0" fontId="5" fillId="14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166" fontId="0" fillId="0" borderId="0" pivotButton="0" quotePrefix="0" xfId="0"/>
    <xf numFmtId="164" fontId="5" fillId="12" borderId="0" pivotButton="0" quotePrefix="0" xfId="0"/>
    <xf numFmtId="0" fontId="5" fillId="2" borderId="3" pivotButton="0" quotePrefix="0" xfId="0"/>
    <xf numFmtId="0" fontId="0" fillId="0" borderId="3" pivotButton="0" quotePrefix="0" xfId="0"/>
    <xf numFmtId="165" fontId="0" fillId="0" borderId="3" pivotButton="0" quotePrefix="0" xfId="0"/>
    <xf numFmtId="0" fontId="2" fillId="16" borderId="3" pivotButton="0" quotePrefix="0" xfId="0"/>
    <xf numFmtId="165" fontId="2" fillId="16" borderId="3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18" borderId="0" pivotButton="0" quotePrefix="0" xfId="0"/>
    <xf numFmtId="165" fontId="2" fillId="18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5" fillId="11" borderId="0" pivotButton="0" quotePrefix="0" xfId="0"/>
    <xf numFmtId="0" fontId="15" fillId="11" borderId="0" pivotButton="0" quotePrefix="0" xfId="0"/>
    <xf numFmtId="165" fontId="15" fillId="11" borderId="0" pivotButton="0" quotePrefix="0" xfId="0"/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3" fillId="0" borderId="0" pivotButton="0" quotePrefix="0" xfId="0"/>
    <xf numFmtId="0" fontId="0" fillId="0" borderId="0" applyAlignment="1" pivotButton="0" quotePrefix="0" xfId="0">
      <alignment vertical="center"/>
    </xf>
    <xf numFmtId="0" fontId="5" fillId="2" borderId="0" pivotButton="0" quotePrefix="0" xfId="0"/>
    <xf numFmtId="0" fontId="2" fillId="19" borderId="0" pivotButton="0" quotePrefix="0" xfId="0"/>
    <xf numFmtId="0" fontId="5" fillId="20" borderId="0" pivotButton="0" quotePrefix="0" xfId="0"/>
    <xf numFmtId="0" fontId="2" fillId="21" borderId="0" pivotButton="0" quotePrefix="0" xfId="0"/>
    <xf numFmtId="0" fontId="5" fillId="17" borderId="0" applyAlignment="1" pivotButton="0" quotePrefix="0" xfId="0">
      <alignment horizontal="center"/>
    </xf>
    <xf numFmtId="165" fontId="2" fillId="5" borderId="0" pivotButton="0" quotePrefix="0" xfId="0"/>
    <xf numFmtId="165" fontId="6" fillId="7" borderId="0" pivotButton="0" quotePrefix="0" xfId="0"/>
    <xf numFmtId="0" fontId="2" fillId="23" borderId="0" pivotButton="0" quotePrefix="0" xfId="0"/>
    <xf numFmtId="0" fontId="17" fillId="0" borderId="0" pivotButton="0" quotePrefix="0" xfId="0"/>
    <xf numFmtId="0" fontId="19" fillId="25" borderId="0" pivotButton="0" quotePrefix="0" xfId="0"/>
    <xf numFmtId="0" fontId="2" fillId="25" borderId="7" pivotButton="0" quotePrefix="0" xfId="0"/>
    <xf numFmtId="165" fontId="2" fillId="25" borderId="7" applyAlignment="1" pivotButton="0" quotePrefix="0" xfId="0">
      <alignment horizontal="right"/>
    </xf>
    <xf numFmtId="0" fontId="7" fillId="2" borderId="0" pivotButton="0" quotePrefix="0" xfId="0"/>
    <xf numFmtId="0" fontId="10" fillId="26" borderId="0" pivotButton="0" quotePrefix="0" xfId="0"/>
    <xf numFmtId="0" fontId="24" fillId="28" borderId="0" pivotButton="0" quotePrefix="0" xfId="0"/>
    <xf numFmtId="0" fontId="25" fillId="27" borderId="0" pivotButton="0" quotePrefix="0" xfId="0"/>
    <xf numFmtId="0" fontId="26" fillId="3" borderId="0" pivotButton="0" quotePrefix="0" xfId="0"/>
    <xf numFmtId="0" fontId="2" fillId="29" borderId="0" pivotButton="0" quotePrefix="0" xfId="0"/>
    <xf numFmtId="0" fontId="5" fillId="30" borderId="0" pivotButton="0" quotePrefix="0" xfId="0"/>
    <xf numFmtId="165" fontId="5" fillId="30" borderId="0" pivotButton="0" quotePrefix="0" xfId="0"/>
    <xf numFmtId="165" fontId="14" fillId="25" borderId="0" pivotButton="0" quotePrefix="0" xfId="0"/>
    <xf numFmtId="165" fontId="20" fillId="26" borderId="0" pivotButton="0" quotePrefix="0" xfId="0"/>
    <xf numFmtId="165" fontId="22" fillId="28" borderId="0" pivotButton="0" quotePrefix="0" xfId="0"/>
    <xf numFmtId="165" fontId="21" fillId="27" borderId="0" pivotButton="0" quotePrefix="0" xfId="0"/>
    <xf numFmtId="165" fontId="23" fillId="3" borderId="0" pivotButton="0" quotePrefix="0" xfId="0"/>
    <xf numFmtId="165" fontId="2" fillId="29" borderId="0" pivotButton="0" quotePrefix="0" xfId="0"/>
    <xf numFmtId="0" fontId="5" fillId="31" borderId="0" applyAlignment="1" pivotButton="0" quotePrefix="0" xfId="0">
      <alignment horizontal="left"/>
    </xf>
    <xf numFmtId="165" fontId="5" fillId="31" borderId="0" applyAlignment="1" pivotButton="0" quotePrefix="0" xfId="0">
      <alignment horizontal="right"/>
    </xf>
    <xf numFmtId="0" fontId="15" fillId="4" borderId="0" applyAlignment="1" pivotButton="0" quotePrefix="0" xfId="0">
      <alignment horizontal="center"/>
    </xf>
    <xf numFmtId="0" fontId="16" fillId="24" borderId="0" applyAlignment="1" pivotButton="0" quotePrefix="0" xfId="0">
      <alignment horizontal="center"/>
    </xf>
    <xf numFmtId="0" fontId="19" fillId="25" borderId="0" pivotButton="0" quotePrefix="0" xfId="0"/>
    <xf numFmtId="0" fontId="13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18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27" fillId="0" borderId="0" pivotButton="0" quotePrefix="0" xfId="0"/>
    <xf numFmtId="167" fontId="5" fillId="2" borderId="0" pivotButton="0" quotePrefix="0" xfId="0"/>
    <xf numFmtId="167" fontId="0" fillId="0" borderId="0" pivotButton="0" quotePrefix="0" xfId="0"/>
    <xf numFmtId="4" fontId="5" fillId="2" borderId="0" pivotButton="0" quotePrefix="0" xfId="0"/>
    <xf numFmtId="4" fontId="0" fillId="0" borderId="0" pivotButton="0" quotePrefix="0" xfId="0"/>
    <xf numFmtId="0" fontId="5" fillId="32" borderId="0" pivotButton="0" quotePrefix="0" xfId="0"/>
    <xf numFmtId="164" fontId="5" fillId="32" borderId="0" pivotButton="0" quotePrefix="0" xfId="0"/>
    <xf numFmtId="4" fontId="5" fillId="32" borderId="0" pivotButton="0" quotePrefix="0" xfId="0"/>
    <xf numFmtId="0" fontId="16" fillId="33" borderId="0" pivotButton="0" quotePrefix="0" xfId="0"/>
    <xf numFmtId="164" fontId="16" fillId="33" borderId="0" pivotButton="0" quotePrefix="0" xfId="0"/>
    <xf numFmtId="4" fontId="16" fillId="33" borderId="0" pivotButton="0" quotePrefix="0" xfId="0"/>
    <xf numFmtId="0" fontId="28" fillId="18" borderId="0" pivotButton="0" quotePrefix="0" xfId="0"/>
    <xf numFmtId="164" fontId="28" fillId="18" borderId="0" pivotButton="0" quotePrefix="0" xfId="0"/>
    <xf numFmtId="4" fontId="28" fillId="18" borderId="0" pivotButton="0" quotePrefix="0" xfId="0"/>
    <xf numFmtId="4" fontId="5" fillId="20" borderId="0" pivotButton="0" quotePrefix="0" xfId="0"/>
    <xf numFmtId="0" fontId="29" fillId="0" borderId="0" pivotButton="0" quotePrefix="0" xfId="0"/>
    <xf numFmtId="0" fontId="5" fillId="34" borderId="0" pivotButton="0" quotePrefix="0" xfId="0"/>
    <xf numFmtId="0" fontId="2" fillId="35" borderId="0" pivotButton="0" quotePrefix="0" xfId="0"/>
    <xf numFmtId="4" fontId="5" fillId="34" borderId="0" pivotButton="0" quotePrefix="0" xfId="0"/>
    <xf numFmtId="4" fontId="2" fillId="35" borderId="0" pivotButton="0" quotePrefix="0" xfId="0"/>
    <xf numFmtId="168" fontId="0" fillId="0" borderId="0" pivotButton="0" quotePrefix="0" xfId="0"/>
    <xf numFmtId="166" fontId="0" fillId="0" borderId="0" pivotButton="0" quotePrefix="0" xfId="0"/>
    <xf numFmtId="0" fontId="18" fillId="0" borderId="3" pivotButton="0" quotePrefix="0" xfId="0"/>
    <xf numFmtId="167" fontId="0" fillId="0" borderId="0" pivotButton="0" quotePrefix="0" xfId="0"/>
    <xf numFmtId="167" fontId="5" fillId="2" borderId="0" pivotButton="0" quotePrefix="0" xfId="0"/>
  </cellXfs>
  <cellStyles count="1">
    <cellStyle name="Normal" xfId="0" builtinId="0"/>
  </cellStyles>
  <dxfs count="37">
    <dxf>
      <font>
        <color rgb="FFC00000"/>
      </font>
      <fill>
        <patternFill patternType="solid">
          <fgColor indexed="64"/>
          <bgColor rgb="FFF8CBAD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5B2C6F"/>
      </font>
      <fill>
        <patternFill patternType="solid">
          <fgColor indexed="64"/>
          <bgColor rgb="FFE2D5F1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8CBAD"/>
        </patternFill>
      </fill>
    </dxf>
    <dxf>
      <font>
        <color rgb="FFC65911"/>
      </font>
      <fill>
        <patternFill patternType="solid">
          <fgColor indexed="64"/>
          <bgColor rgb="FFFCE4D6"/>
        </patternFill>
      </fill>
    </dxf>
    <dxf>
      <font>
        <color rgb="FF5B2C6F"/>
      </font>
      <fill>
        <patternFill patternType="solid">
          <fgColor indexed="64"/>
          <bgColor rgb="FFE2D5F1"/>
        </patternFill>
      </fill>
    </dxf>
    <dxf>
      <font>
        <color rgb="FF806000"/>
      </font>
      <fill>
        <patternFill patternType="solid">
          <fgColor indexed="64"/>
          <bgColor rgb="FFFFE699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65" formatCode="&quot;$&quot;#,##0.00"/>
    </dxf>
    <dxf>
      <numFmt numFmtId="165" formatCode="&quot;$&quot;#,##0.00"/>
    </dxf>
    <dxf>
      <numFmt numFmtId="0" formatCode="General"/>
    </dxf>
    <dxf>
      <alignment horizontal="center" vertical="bottom"/>
    </dxf>
    <dxf>
      <alignment horizontal="center" vertical="bottom"/>
    </dxf>
    <dxf>
      <numFmt numFmtId="164" formatCode="mm/dd/yyyy"/>
      <alignment horizontal="center" vertical="bottom"/>
    </dxf>
    <dxf>
      <numFmt numFmtId="164" formatCode="mm/dd/yyyy"/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E74C3C"/>
        </patternFill>
      </fill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  <numFmt numFmtId="165" formatCode="&quot;$&quot;#,##0.00"/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  <numFmt numFmtId="164" formatCode="mm/dd/yyyy"/>
      <alignment horizontal="center" vertical="bottom"/>
    </dxf>
    <dxf>
      <font>
        <name val="Calibri"/>
        <family val="2"/>
        <strike val="0"/>
        <outline val="0"/>
        <shadow val="0"/>
        <color theme="1"/>
        <sz val="12"/>
        <vertAlign val="baseline"/>
        <scheme val="minor"/>
      </font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6"/>
        <vertAlign val="baseline"/>
        <scheme val="minor"/>
      </font>
      <fill>
        <patternFill patternType="solid">
          <fgColor indexed="64"/>
          <bgColor rgb="FF27AE60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rgb="FFD5F5E3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E67E22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3498DB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9B59B6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Ingresos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Dashboard!$H$6</f>
              <strCache>
                <ptCount val="1"/>
                <pt idx="0">
                  <v>Monto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Dashboard!$G$7:$G$8</f>
              <strCache>
                <ptCount val="1"/>
                <pt idx="0">
                  <v>Sin datos</v>
                </pt>
              </strCache>
            </strRef>
          </cat>
          <val>
            <numRef>
              <f>Dashboard!$H$7:$H$8</f>
              <numCache>
                <formatCode>General</formatCode>
                <ptCount val="2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Gastos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Dashboard!$H$15</f>
              <strCache>
                <ptCount val="1"/>
                <pt idx="0">
                  <v>Monto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Dashboard!$G$16:$G$22</f>
              <strCache>
                <ptCount val="1"/>
                <pt idx="0">
                  <v>Sin datos</v>
                </pt>
              </strCache>
            </strRef>
          </cat>
          <val>
            <numRef>
              <f>Dashboard!$H$16:$H$22</f>
              <numCache>
                <formatCode>General</formatCode>
                <ptCount val="7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47625</colOff>
      <row>2</row>
      <rowOff>171450</rowOff>
    </from>
    <to>
      <col>16</col>
      <colOff>47625</colOff>
      <row>17</row>
      <rowOff>171450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19</row>
      <rowOff>0</rowOff>
    </from>
    <to>
      <col>16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aIngresos" displayName="TablaIngresos" ref="A1:I74" headerRowCount="1" totalsRowShown="0" headerRowDxfId="30" dataDxfId="29">
  <autoFilter ref="A1:I74"/>
  <sortState ref="A2:I16">
    <sortCondition ref="A1:A74"/>
  </sortState>
  <tableColumns count="9">
    <tableColumn id="1" name="INCOME STATEMENT - REVENUE SECTION" dataDxfId="28"/>
    <tableColumn id="2" name="Document Number" dataDxfId="27"/>
    <tableColumn id="3" name="Description" dataDxfId="26"/>
    <tableColumn id="4" name="Customer" dataDxfId="25"/>
    <tableColumn id="5" name="Category" dataDxfId="24"/>
    <tableColumn id="6" name="Payment Method" dataDxfId="23"/>
    <tableColumn id="7" name="Status" dataDxfId="22"/>
    <tableColumn id="8" name="Amount" dataDxfId="21"/>
    <tableColumn id="9" name="Not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Gastos" displayName="TablaGastos" ref="A1:J501" headerRowCount="1" totalsRowCount="1" headerRowDxfId="19">
  <autoFilter ref="A1:J500"/>
  <sortState ref="A2:J500">
    <sortCondition ref="A1:A500"/>
  </sortState>
  <tableColumns count="10">
    <tableColumn id="1" name="Date" dataDxfId="18" totalsRowDxfId="17"/>
    <tableColumn id="2" name="Document Number" dataDxfId="16" totalsRowDxfId="15"/>
    <tableColumn id="3" name="Description"/>
    <tableColumn id="4" name="Supplier"/>
    <tableColumn id="5" name="Category"/>
    <tableColumn id="10" name="Type" totalsRowFunction="custom" dataDxfId="14">
      <calculatedColumnFormula>IF(E2="","",IFERROR(_xlfn.XLOOKUP(E2,Settings!$F$2:$F$36,Settings!$E$2:$E$36,""),""))</calculatedColumnFormula>
      <totalsRowFormula>IF(E501="","",IFERROR(_xlfn.XLOOKUP(E501,Settings!$F$2:$F$38,Settings!$E$2:$E$38,""),""))</totalsRowFormula>
    </tableColumn>
    <tableColumn id="6" name="Payment Method"/>
    <tableColumn id="7" name="Status"/>
    <tableColumn id="8" name="Amount" dataDxfId="13" totalsRowDxfId="12"/>
    <tableColumn id="9" name="Note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aCategorias" displayName="TablaCategorias" ref="F1:F38" headerRowCount="1" totalsRowShown="0" headerRowDxfId="36" dataDxfId="35">
  <autoFilter ref="F1:F38"/>
  <sortState ref="F2:F37">
    <sortCondition ref="F1:F37"/>
  </sortState>
  <tableColumns count="1">
    <tableColumn id="1" name="Chart of Accounts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Clientes" displayName="TablaClientes" ref="A1:A17" headerRowCount="1" totalsRowShown="0" headerRowDxfId="33">
  <autoFilter ref="A1:A17"/>
  <tableColumns count="1">
    <tableColumn id="1" name="Custom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Proveedores" displayName="TablaProveedores" ref="C1:C17" headerRowCount="1" totalsRowShown="0" headerRowDxfId="32">
  <autoFilter ref="C1:C17"/>
  <tableColumns count="1">
    <tableColumn id="1" name="Suppli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Revenue" displayName="TablaRevenue" ref="H1:H8" headerRowCount="1" totalsRowShown="0" headerRowDxfId="31">
  <autoFilter ref="H1:H8"/>
  <tableColumns count="1">
    <tableColumn id="1" name="Revenue Categori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Relationship Type="http://schemas.openxmlformats.org/officeDocument/2006/relationships/table" Target="/xl/tables/table6.xm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zoomScaleNormal="100" workbookViewId="0">
      <selection activeCell="A2" sqref="A2:I75"/>
    </sheetView>
  </sheetViews>
  <sheetFormatPr baseColWidth="10" defaultRowHeight="15"/>
  <cols>
    <col width="14.42578125" bestFit="1" customWidth="1" style="4" min="1" max="1"/>
    <col width="27.5703125" bestFit="1" customWidth="1" style="81" min="2" max="2"/>
    <col width="23.140625" bestFit="1" customWidth="1" style="81" min="3" max="3"/>
    <col width="21.7109375" bestFit="1" customWidth="1" style="81" min="4" max="4"/>
    <col width="23.42578125" bestFit="1" customWidth="1" style="81" min="5" max="5"/>
    <col width="25.42578125" bestFit="1" customWidth="1" style="81" min="6" max="6"/>
    <col width="11.140625" bestFit="1" customWidth="1" style="81" min="7" max="7"/>
    <col width="13.5703125" bestFit="1" customWidth="1" style="5" min="8" max="8"/>
    <col width="17.28515625" bestFit="1" customWidth="1" style="81" min="9" max="9"/>
  </cols>
  <sheetData>
    <row r="1" ht="21" customHeight="1" s="81">
      <c r="A1" s="42" t="inlineStr">
        <is>
          <t>INCOME STATEMENT - REVENUE SECTION</t>
        </is>
      </c>
      <c r="B1" s="43" t="inlineStr">
        <is>
          <t>Document Number</t>
        </is>
      </c>
      <c r="C1" s="43" t="inlineStr">
        <is>
          <t>Description</t>
        </is>
      </c>
      <c r="D1" s="43" t="inlineStr">
        <is>
          <t>Customer</t>
        </is>
      </c>
      <c r="E1" s="43" t="inlineStr">
        <is>
          <t>Category</t>
        </is>
      </c>
      <c r="F1" s="43" t="inlineStr">
        <is>
          <t>Payment Method</t>
        </is>
      </c>
      <c r="G1" s="43" t="inlineStr">
        <is>
          <t>Status</t>
        </is>
      </c>
      <c r="H1" s="44" t="inlineStr">
        <is>
          <t>Amount</t>
        </is>
      </c>
      <c r="I1" s="43" t="inlineStr">
        <is>
          <t>Notes</t>
        </is>
      </c>
    </row>
    <row r="2" ht="15.75" customHeight="1" s="81">
      <c r="A2" s="45" t="n"/>
      <c r="B2" s="46" t="n"/>
      <c r="C2" s="1" t="n"/>
      <c r="D2" s="1" t="n"/>
      <c r="E2" s="1" t="n"/>
      <c r="F2" s="1" t="n"/>
      <c r="G2" s="1" t="n"/>
      <c r="H2" s="47" t="n"/>
      <c r="I2" s="1" t="n"/>
    </row>
    <row r="3" ht="15.75" customHeight="1" s="81">
      <c r="A3" s="45" t="n"/>
      <c r="B3" s="46" t="n"/>
      <c r="C3" s="1" t="n"/>
      <c r="D3" s="1" t="n"/>
      <c r="E3" s="1" t="n"/>
      <c r="F3" s="1" t="n"/>
      <c r="G3" s="1" t="n"/>
      <c r="H3" s="47" t="n"/>
      <c r="I3" s="1" t="n"/>
    </row>
    <row r="4" ht="15.75" customHeight="1" s="81">
      <c r="A4" s="45" t="n"/>
      <c r="B4" s="46" t="n"/>
      <c r="C4" s="1" t="n"/>
      <c r="D4" s="1" t="n"/>
      <c r="E4" s="1" t="n"/>
      <c r="F4" s="1" t="n"/>
      <c r="G4" s="1" t="n"/>
      <c r="H4" s="47" t="n"/>
      <c r="I4" s="1" t="n"/>
    </row>
    <row r="5" ht="15.75" customHeight="1" s="81">
      <c r="A5" s="45" t="n"/>
      <c r="B5" s="46" t="n"/>
      <c r="C5" s="1" t="n"/>
      <c r="D5" s="1" t="n"/>
      <c r="E5" s="1" t="n"/>
      <c r="F5" s="1" t="n"/>
      <c r="G5" s="1" t="n"/>
      <c r="H5" s="47" t="n"/>
      <c r="I5" s="1" t="n"/>
    </row>
    <row r="6" ht="15.75" customHeight="1" s="81">
      <c r="A6" s="45" t="n"/>
      <c r="B6" s="46" t="n"/>
      <c r="C6" s="1" t="n"/>
      <c r="D6" s="1" t="n"/>
      <c r="E6" s="1" t="n"/>
      <c r="F6" s="1" t="n"/>
      <c r="G6" s="1" t="n"/>
      <c r="H6" s="47" t="n"/>
      <c r="I6" s="1" t="n"/>
    </row>
    <row r="7" ht="15.75" customHeight="1" s="81">
      <c r="A7" s="45" t="n"/>
      <c r="B7" s="46" t="n"/>
      <c r="C7" s="1" t="n"/>
      <c r="D7" s="1" t="n"/>
      <c r="E7" s="1" t="n"/>
      <c r="F7" s="1" t="n"/>
      <c r="G7" s="1" t="n"/>
      <c r="H7" s="47" t="n"/>
      <c r="I7" s="1" t="n"/>
    </row>
    <row r="8" ht="15.75" customHeight="1" s="81">
      <c r="A8" s="45" t="n"/>
      <c r="B8" s="46" t="n"/>
      <c r="C8" s="1" t="n"/>
      <c r="D8" s="1" t="n"/>
      <c r="E8" s="1" t="n"/>
      <c r="F8" s="1" t="n"/>
      <c r="G8" s="1" t="n"/>
      <c r="H8" s="47" t="n"/>
      <c r="I8" s="1" t="n"/>
    </row>
    <row r="9" ht="15.75" customHeight="1" s="81">
      <c r="A9" s="45" t="n"/>
      <c r="B9" s="46" t="n"/>
      <c r="C9" s="1" t="n"/>
      <c r="D9" s="1" t="n"/>
      <c r="E9" s="1" t="n"/>
      <c r="F9" s="1" t="n"/>
      <c r="G9" s="1" t="n"/>
      <c r="H9" s="47" t="n"/>
      <c r="I9" s="1" t="n"/>
    </row>
    <row r="10" ht="15.75" customHeight="1" s="81">
      <c r="A10" s="45" t="n"/>
      <c r="B10" s="46" t="n"/>
      <c r="C10" s="1" t="n"/>
      <c r="D10" s="1" t="n"/>
      <c r="E10" s="1" t="n"/>
      <c r="F10" s="1" t="n"/>
      <c r="G10" s="1" t="n"/>
      <c r="H10" s="47" t="n"/>
      <c r="I10" s="1" t="n"/>
    </row>
    <row r="11" ht="15.75" customHeight="1" s="81">
      <c r="A11" s="45" t="n"/>
      <c r="B11" s="46" t="n"/>
      <c r="C11" s="1" t="n"/>
      <c r="D11" s="1" t="n"/>
      <c r="E11" s="1" t="n"/>
      <c r="F11" s="1" t="n"/>
      <c r="G11" s="1" t="n"/>
      <c r="H11" s="47" t="n"/>
      <c r="I11" s="1" t="n"/>
    </row>
    <row r="12" ht="15.75" customHeight="1" s="81">
      <c r="A12" s="45" t="n"/>
      <c r="B12" s="46" t="n"/>
      <c r="C12" s="1" t="n"/>
      <c r="D12" s="1" t="n"/>
      <c r="E12" s="1" t="n"/>
      <c r="F12" s="1" t="n"/>
      <c r="G12" s="1" t="n"/>
      <c r="H12" s="47" t="n"/>
      <c r="I12" s="1" t="n"/>
    </row>
    <row r="13" ht="15.75" customHeight="1" s="81">
      <c r="A13" s="45" t="n"/>
      <c r="B13" s="46" t="n"/>
      <c r="C13" s="1" t="n"/>
      <c r="D13" s="1" t="n"/>
      <c r="E13" s="1" t="n"/>
      <c r="F13" s="1" t="n"/>
      <c r="G13" s="1" t="n"/>
      <c r="H13" s="47" t="n"/>
      <c r="I13" s="1" t="n"/>
    </row>
    <row r="14" ht="15.75" customHeight="1" s="81">
      <c r="A14" s="45" t="n"/>
      <c r="B14" s="46" t="n"/>
      <c r="C14" s="1" t="n"/>
      <c r="D14" s="1" t="n"/>
      <c r="E14" s="1" t="n"/>
      <c r="F14" s="1" t="n"/>
      <c r="G14" s="1" t="n"/>
      <c r="H14" s="47" t="n"/>
      <c r="I14" s="1" t="n"/>
    </row>
    <row r="15" ht="15.75" customHeight="1" s="81">
      <c r="A15" s="45" t="n"/>
      <c r="B15" s="46" t="n"/>
      <c r="C15" s="1" t="n"/>
      <c r="D15" s="1" t="n"/>
      <c r="E15" s="1" t="n"/>
      <c r="F15" s="1" t="n"/>
      <c r="G15" s="1" t="n"/>
      <c r="H15" s="47" t="n"/>
      <c r="I15" s="1" t="n"/>
    </row>
    <row r="16" ht="15.75" customHeight="1" s="81">
      <c r="A16" s="45" t="n"/>
      <c r="B16" s="46" t="n"/>
      <c r="C16" s="1" t="n"/>
      <c r="D16" s="1" t="n"/>
      <c r="E16" s="1" t="n"/>
      <c r="F16" s="1" t="n"/>
      <c r="G16" s="1" t="n"/>
      <c r="H16" s="47" t="n"/>
      <c r="I16" s="1" t="n"/>
    </row>
    <row r="17" ht="15.75" customHeight="1" s="81">
      <c r="A17" s="45" t="n"/>
      <c r="B17" s="46" t="n"/>
      <c r="C17" s="1" t="n"/>
      <c r="D17" s="1" t="n"/>
      <c r="E17" s="1" t="n"/>
      <c r="F17" s="1" t="n"/>
      <c r="G17" s="1" t="n"/>
      <c r="H17" s="47" t="n"/>
      <c r="I17" s="1" t="n"/>
    </row>
    <row r="18" ht="15.75" customHeight="1" s="81">
      <c r="A18" s="45" t="n"/>
      <c r="B18" s="46" t="n"/>
      <c r="C18" s="1" t="n"/>
      <c r="D18" s="1" t="n"/>
      <c r="E18" s="1" t="n"/>
      <c r="F18" s="1" t="n"/>
      <c r="G18" s="1" t="n"/>
      <c r="H18" s="47" t="n"/>
      <c r="I18" s="1" t="n"/>
    </row>
    <row r="19" ht="15.75" customHeight="1" s="81">
      <c r="A19" s="45" t="n"/>
      <c r="B19" s="46" t="n"/>
      <c r="C19" s="1" t="n"/>
      <c r="D19" s="1" t="n"/>
      <c r="E19" s="1" t="n"/>
      <c r="F19" s="1" t="n"/>
      <c r="G19" s="1" t="n"/>
      <c r="H19" s="47" t="n"/>
      <c r="I19" s="1" t="n"/>
    </row>
    <row r="20" ht="15.75" customHeight="1" s="81">
      <c r="A20" s="45" t="n"/>
      <c r="B20" s="46" t="n"/>
      <c r="C20" s="1" t="n"/>
      <c r="D20" s="1" t="n"/>
      <c r="E20" s="1" t="n"/>
      <c r="F20" s="1" t="n"/>
      <c r="G20" s="1" t="n"/>
      <c r="H20" s="47" t="n"/>
      <c r="I20" s="1" t="n"/>
    </row>
    <row r="21" ht="15.75" customHeight="1" s="81">
      <c r="A21" s="45" t="n"/>
      <c r="B21" s="46" t="n"/>
      <c r="C21" s="1" t="n"/>
      <c r="D21" s="1" t="n"/>
      <c r="E21" s="1" t="n"/>
      <c r="F21" s="1" t="n"/>
      <c r="G21" s="1" t="n"/>
      <c r="H21" s="47" t="n"/>
      <c r="I21" s="1" t="n"/>
    </row>
    <row r="22" ht="15.75" customHeight="1" s="81">
      <c r="A22" s="45" t="n"/>
      <c r="B22" s="46" t="n"/>
      <c r="C22" s="1" t="n"/>
      <c r="D22" s="1" t="n"/>
      <c r="E22" s="1" t="n"/>
      <c r="F22" s="1" t="n"/>
      <c r="G22" s="1" t="n"/>
      <c r="H22" s="47" t="n"/>
      <c r="I22" s="1" t="n"/>
    </row>
    <row r="23" ht="15.75" customHeight="1" s="81">
      <c r="A23" s="45" t="n"/>
      <c r="B23" s="46" t="n"/>
      <c r="C23" s="1" t="n"/>
      <c r="D23" s="1" t="n"/>
      <c r="E23" s="1" t="n"/>
      <c r="F23" s="1" t="n"/>
      <c r="G23" s="1" t="n"/>
      <c r="H23" s="47" t="n"/>
      <c r="I23" s="1" t="n"/>
    </row>
    <row r="24" ht="15.75" customHeight="1" s="81">
      <c r="A24" s="45" t="n"/>
      <c r="B24" s="46" t="n"/>
      <c r="C24" s="1" t="n"/>
      <c r="D24" s="1" t="n"/>
      <c r="E24" s="1" t="n"/>
      <c r="F24" s="1" t="n"/>
      <c r="G24" s="1" t="n"/>
      <c r="H24" s="47" t="n"/>
      <c r="I24" s="1" t="n"/>
    </row>
    <row r="25" ht="15.75" customHeight="1" s="81">
      <c r="A25" s="45" t="n"/>
      <c r="B25" s="46" t="n"/>
      <c r="C25" s="1" t="n"/>
      <c r="D25" s="1" t="n"/>
      <c r="E25" s="1" t="n"/>
      <c r="F25" s="1" t="n"/>
      <c r="G25" s="1" t="n"/>
      <c r="H25" s="47" t="n"/>
      <c r="I25" s="1" t="n"/>
    </row>
    <row r="26" ht="15.75" customHeight="1" s="81">
      <c r="A26" s="45" t="n"/>
      <c r="B26" s="46" t="n"/>
      <c r="C26" s="1" t="n"/>
      <c r="D26" s="1" t="n"/>
      <c r="E26" s="1" t="n"/>
      <c r="F26" s="1" t="n"/>
      <c r="G26" s="1" t="n"/>
      <c r="H26" s="47" t="n"/>
      <c r="I26" s="1" t="n"/>
    </row>
    <row r="27" ht="15.75" customHeight="1" s="81">
      <c r="A27" s="45" t="n"/>
      <c r="B27" s="46" t="n"/>
      <c r="C27" s="1" t="n"/>
      <c r="D27" s="1" t="n"/>
      <c r="E27" s="1" t="n"/>
      <c r="F27" s="1" t="n"/>
      <c r="G27" s="1" t="n"/>
      <c r="H27" s="47" t="n"/>
      <c r="I27" s="1" t="n"/>
    </row>
    <row r="28" ht="15.75" customHeight="1" s="81">
      <c r="A28" s="45" t="n"/>
      <c r="B28" s="46" t="n"/>
      <c r="C28" s="1" t="n"/>
      <c r="D28" s="1" t="n"/>
      <c r="E28" s="1" t="n"/>
      <c r="F28" s="1" t="n"/>
      <c r="G28" s="1" t="n"/>
      <c r="H28" s="47" t="n"/>
      <c r="I28" s="1" t="n"/>
    </row>
    <row r="29" ht="15.75" customHeight="1" s="81">
      <c r="A29" s="45" t="n"/>
      <c r="B29" s="46" t="n"/>
      <c r="C29" s="1" t="n"/>
      <c r="D29" s="1" t="n"/>
      <c r="E29" s="1" t="n"/>
      <c r="F29" s="1" t="n"/>
      <c r="G29" s="1" t="n"/>
      <c r="H29" s="47" t="n"/>
      <c r="I29" s="1" t="n"/>
    </row>
    <row r="30" ht="15.75" customHeight="1" s="81">
      <c r="A30" s="45" t="n"/>
      <c r="B30" s="46" t="n"/>
      <c r="C30" s="1" t="n"/>
      <c r="D30" s="1" t="n"/>
      <c r="E30" s="1" t="n"/>
      <c r="F30" s="1" t="n"/>
      <c r="G30" s="1" t="n"/>
      <c r="H30" s="47" t="n"/>
      <c r="I30" s="1" t="n"/>
    </row>
    <row r="31" ht="15.75" customHeight="1" s="81">
      <c r="A31" s="45" t="n"/>
      <c r="B31" s="46" t="n"/>
      <c r="C31" s="1" t="n"/>
      <c r="D31" s="1" t="n"/>
      <c r="E31" s="1" t="n"/>
      <c r="F31" s="1" t="n"/>
      <c r="G31" s="1" t="n"/>
      <c r="H31" s="47" t="n"/>
      <c r="I31" s="1" t="n"/>
    </row>
    <row r="32" ht="15.75" customHeight="1" s="81">
      <c r="A32" s="45" t="n"/>
      <c r="B32" s="46" t="n"/>
      <c r="C32" s="1" t="n"/>
      <c r="D32" s="1" t="n"/>
      <c r="E32" s="1" t="n"/>
      <c r="F32" s="1" t="n"/>
      <c r="G32" s="1" t="n"/>
      <c r="H32" s="47" t="n"/>
      <c r="I32" s="1" t="n"/>
    </row>
    <row r="33" ht="15.75" customHeight="1" s="81">
      <c r="A33" s="45" t="n"/>
      <c r="B33" s="46" t="n"/>
      <c r="C33" s="1" t="n"/>
      <c r="D33" s="1" t="n"/>
      <c r="E33" s="1" t="n"/>
      <c r="F33" s="1" t="n"/>
      <c r="G33" s="1" t="n"/>
      <c r="H33" s="47" t="n"/>
      <c r="I33" s="1" t="n"/>
    </row>
    <row r="34" ht="15.75" customHeight="1" s="81">
      <c r="A34" s="45" t="n"/>
      <c r="B34" s="46" t="n"/>
      <c r="C34" s="1" t="n"/>
      <c r="D34" s="1" t="n"/>
      <c r="E34" s="1" t="n"/>
      <c r="F34" s="1" t="n"/>
      <c r="G34" s="1" t="n"/>
      <c r="H34" s="47" t="n"/>
      <c r="I34" s="1" t="n"/>
    </row>
    <row r="35" ht="15.75" customHeight="1" s="81">
      <c r="A35" s="45" t="n"/>
      <c r="B35" s="46" t="n"/>
      <c r="C35" s="1" t="n"/>
      <c r="D35" s="1" t="n"/>
      <c r="E35" s="1" t="n"/>
      <c r="F35" s="1" t="n"/>
      <c r="G35" s="1" t="n"/>
      <c r="H35" s="47" t="n"/>
      <c r="I35" s="1" t="n"/>
    </row>
    <row r="36" ht="15.75" customHeight="1" s="81">
      <c r="A36" s="45" t="n"/>
      <c r="B36" s="46" t="n"/>
      <c r="C36" s="1" t="n"/>
      <c r="D36" s="1" t="n"/>
      <c r="E36" s="1" t="n"/>
      <c r="F36" s="1" t="n"/>
      <c r="G36" s="1" t="n"/>
      <c r="H36" s="47" t="n"/>
      <c r="I36" s="1" t="n"/>
    </row>
    <row r="37" ht="15.75" customHeight="1" s="81">
      <c r="A37" s="45" t="n"/>
      <c r="B37" s="46" t="n"/>
      <c r="C37" s="1" t="n"/>
      <c r="D37" s="1" t="n"/>
      <c r="E37" s="1" t="n"/>
      <c r="F37" s="1" t="n"/>
      <c r="G37" s="1" t="n"/>
      <c r="H37" s="47" t="n"/>
      <c r="I37" s="1" t="n"/>
    </row>
    <row r="38" ht="15.75" customHeight="1" s="81">
      <c r="A38" s="45" t="n"/>
      <c r="B38" s="46" t="n"/>
      <c r="C38" s="1" t="n"/>
      <c r="D38" s="1" t="n"/>
      <c r="E38" s="1" t="n"/>
      <c r="F38" s="1" t="n"/>
      <c r="G38" s="1" t="n"/>
      <c r="H38" s="47" t="n"/>
      <c r="I38" s="1" t="n"/>
    </row>
    <row r="39" ht="15.75" customHeight="1" s="81">
      <c r="A39" s="45" t="n"/>
      <c r="B39" s="46" t="n"/>
      <c r="C39" s="1" t="n"/>
      <c r="D39" s="1" t="n"/>
      <c r="E39" s="1" t="n"/>
      <c r="F39" s="1" t="n"/>
      <c r="G39" s="1" t="n"/>
      <c r="H39" s="47" t="n"/>
      <c r="I39" s="1" t="n"/>
    </row>
    <row r="40" ht="15.75" customHeight="1" s="81">
      <c r="A40" s="45" t="n"/>
      <c r="B40" s="46" t="n"/>
      <c r="C40" s="1" t="n"/>
      <c r="D40" s="1" t="n"/>
      <c r="E40" s="1" t="n"/>
      <c r="F40" s="1" t="n"/>
      <c r="G40" s="1" t="n"/>
      <c r="H40" s="47" t="n"/>
      <c r="I40" s="1" t="n"/>
    </row>
    <row r="41" ht="15.75" customHeight="1" s="81">
      <c r="A41" s="45" t="n"/>
      <c r="B41" s="46" t="n"/>
      <c r="C41" s="1" t="n"/>
      <c r="D41" s="1" t="n"/>
      <c r="E41" s="1" t="n"/>
      <c r="F41" s="1" t="n"/>
      <c r="G41" s="1" t="n"/>
      <c r="H41" s="47" t="n"/>
      <c r="I41" s="1" t="n"/>
    </row>
    <row r="42" ht="15.75" customHeight="1" s="81">
      <c r="A42" s="45" t="n"/>
      <c r="B42" s="46" t="n"/>
      <c r="C42" s="1" t="n"/>
      <c r="D42" s="1" t="n"/>
      <c r="E42" s="1" t="n"/>
      <c r="F42" s="1" t="n"/>
      <c r="G42" s="1" t="n"/>
      <c r="H42" s="47" t="n"/>
      <c r="I42" s="1" t="n"/>
    </row>
    <row r="43" ht="15.75" customHeight="1" s="81">
      <c r="A43" s="45" t="n"/>
      <c r="B43" s="46" t="n"/>
      <c r="C43" s="1" t="n"/>
      <c r="D43" s="1" t="n"/>
      <c r="E43" s="1" t="n"/>
      <c r="F43" s="1" t="n"/>
      <c r="G43" s="1" t="n"/>
      <c r="H43" s="47" t="n"/>
      <c r="I43" s="1" t="n"/>
    </row>
    <row r="44" ht="15.75" customHeight="1" s="81">
      <c r="A44" s="45" t="n"/>
      <c r="B44" s="46" t="n"/>
      <c r="C44" s="1" t="n"/>
      <c r="D44" s="1" t="n"/>
      <c r="E44" s="1" t="n"/>
      <c r="F44" s="1" t="n"/>
      <c r="G44" s="1" t="n"/>
      <c r="H44" s="47" t="n"/>
      <c r="I44" s="1" t="n"/>
    </row>
    <row r="45" ht="15.75" customHeight="1" s="81">
      <c r="A45" s="45" t="n"/>
      <c r="B45" s="46" t="n"/>
      <c r="C45" s="1" t="n"/>
      <c r="D45" s="1" t="n"/>
      <c r="E45" s="1" t="n"/>
      <c r="F45" s="1" t="n"/>
      <c r="G45" s="1" t="n"/>
      <c r="H45" s="47" t="n"/>
      <c r="I45" s="1" t="n"/>
    </row>
    <row r="46" ht="15.75" customHeight="1" s="81">
      <c r="A46" s="45" t="n"/>
      <c r="B46" s="46" t="n"/>
      <c r="C46" s="1" t="n"/>
      <c r="D46" s="1" t="n"/>
      <c r="E46" s="1" t="n"/>
      <c r="F46" s="1" t="n"/>
      <c r="G46" s="1" t="n"/>
      <c r="H46" s="47" t="n"/>
      <c r="I46" s="1" t="n"/>
    </row>
    <row r="47" ht="15.75" customHeight="1" s="81">
      <c r="A47" s="45" t="n"/>
      <c r="B47" s="46" t="n"/>
      <c r="C47" s="1" t="n"/>
      <c r="D47" s="1" t="n"/>
      <c r="E47" s="1" t="n"/>
      <c r="F47" s="1" t="n"/>
      <c r="G47" s="1" t="n"/>
      <c r="H47" s="47" t="n"/>
      <c r="I47" s="1" t="n"/>
    </row>
    <row r="48" ht="15.75" customHeight="1" s="81">
      <c r="A48" s="45" t="n"/>
      <c r="B48" s="46" t="n"/>
      <c r="C48" s="1" t="n"/>
      <c r="D48" s="1" t="n"/>
      <c r="E48" s="1" t="n"/>
      <c r="F48" s="1" t="n"/>
      <c r="G48" s="1" t="n"/>
      <c r="H48" s="47" t="n"/>
      <c r="I48" s="1" t="n"/>
    </row>
    <row r="49" ht="15.75" customHeight="1" s="81">
      <c r="A49" s="45" t="n"/>
      <c r="B49" s="46" t="n"/>
      <c r="C49" s="1" t="n"/>
      <c r="D49" s="1" t="n"/>
      <c r="E49" s="1" t="n"/>
      <c r="F49" s="1" t="n"/>
      <c r="G49" s="1" t="n"/>
      <c r="H49" s="47" t="n"/>
      <c r="I49" s="1" t="n"/>
    </row>
    <row r="50" ht="15.75" customHeight="1" s="81">
      <c r="A50" s="45" t="n"/>
      <c r="B50" s="46" t="n"/>
      <c r="C50" s="1" t="n"/>
      <c r="D50" s="1" t="n"/>
      <c r="E50" s="1" t="n"/>
      <c r="F50" s="1" t="n"/>
      <c r="G50" s="1" t="n"/>
      <c r="H50" s="47" t="n"/>
      <c r="I50" s="1" t="n"/>
    </row>
    <row r="51" ht="15.75" customHeight="1" s="81">
      <c r="A51" s="45" t="n"/>
      <c r="B51" s="46" t="n"/>
      <c r="C51" s="1" t="n"/>
      <c r="D51" s="1" t="n"/>
      <c r="E51" s="1" t="n"/>
      <c r="F51" s="1" t="n"/>
      <c r="G51" s="1" t="n"/>
      <c r="H51" s="47" t="n"/>
      <c r="I51" s="1" t="n"/>
    </row>
    <row r="52" ht="15.75" customHeight="1" s="81">
      <c r="A52" s="45" t="n"/>
      <c r="B52" s="46" t="n"/>
      <c r="C52" s="1" t="n"/>
      <c r="D52" s="1" t="n"/>
      <c r="E52" s="1" t="n"/>
      <c r="F52" s="1" t="n"/>
      <c r="G52" s="1" t="n"/>
      <c r="H52" s="47" t="n"/>
      <c r="I52" s="1" t="n"/>
    </row>
    <row r="53" ht="15.75" customHeight="1" s="81">
      <c r="A53" s="45" t="n"/>
      <c r="B53" s="46" t="n"/>
      <c r="C53" s="1" t="n"/>
      <c r="D53" s="1" t="n"/>
      <c r="E53" s="1" t="n"/>
      <c r="F53" s="1" t="n"/>
      <c r="G53" s="1" t="n"/>
      <c r="H53" s="47" t="n"/>
      <c r="I53" s="1" t="n"/>
    </row>
    <row r="54" ht="15.75" customHeight="1" s="81">
      <c r="A54" s="45" t="n"/>
      <c r="B54" s="46" t="n"/>
      <c r="C54" s="1" t="n"/>
      <c r="D54" s="1" t="n"/>
      <c r="E54" s="1" t="n"/>
      <c r="F54" s="1" t="n"/>
      <c r="G54" s="1" t="n"/>
      <c r="H54" s="47" t="n"/>
      <c r="I54" s="1" t="n"/>
    </row>
    <row r="55" ht="15.75" customHeight="1" s="81">
      <c r="A55" s="45" t="n"/>
      <c r="B55" s="46" t="n"/>
      <c r="C55" s="1" t="n"/>
      <c r="D55" s="1" t="n"/>
      <c r="E55" s="1" t="n"/>
      <c r="F55" s="1" t="n"/>
      <c r="G55" s="1" t="n"/>
      <c r="H55" s="47" t="n"/>
      <c r="I55" s="1" t="n"/>
    </row>
    <row r="56" ht="15.75" customHeight="1" s="81">
      <c r="A56" s="45" t="n"/>
      <c r="B56" s="46" t="n"/>
      <c r="C56" s="1" t="n"/>
      <c r="D56" s="1" t="n"/>
      <c r="E56" s="1" t="n"/>
      <c r="F56" s="1" t="n"/>
      <c r="G56" s="1" t="n"/>
      <c r="H56" s="47" t="n"/>
      <c r="I56" s="1" t="n"/>
    </row>
    <row r="57" ht="15.75" customHeight="1" s="81">
      <c r="A57" s="45" t="n"/>
      <c r="B57" s="46" t="n"/>
      <c r="C57" s="1" t="n"/>
      <c r="D57" s="1" t="n"/>
      <c r="E57" s="1" t="n"/>
      <c r="F57" s="1" t="n"/>
      <c r="G57" s="1" t="n"/>
      <c r="H57" s="47" t="n"/>
      <c r="I57" s="1" t="n"/>
    </row>
    <row r="58" ht="15.75" customHeight="1" s="81">
      <c r="A58" s="45" t="n"/>
      <c r="B58" s="46" t="n"/>
      <c r="C58" s="1" t="n"/>
      <c r="D58" s="1" t="n"/>
      <c r="E58" s="1" t="n"/>
      <c r="F58" s="1" t="n"/>
      <c r="G58" s="1" t="n"/>
      <c r="H58" s="47" t="n"/>
      <c r="I58" s="1" t="n"/>
    </row>
    <row r="59" ht="15.75" customHeight="1" s="81">
      <c r="A59" s="45" t="n"/>
      <c r="B59" s="46" t="n"/>
      <c r="C59" s="1" t="n"/>
      <c r="D59" s="1" t="n"/>
      <c r="E59" s="1" t="n"/>
      <c r="F59" s="1" t="n"/>
      <c r="G59" s="1" t="n"/>
      <c r="H59" s="47" t="n"/>
      <c r="I59" s="1" t="n"/>
    </row>
    <row r="60" ht="15.75" customHeight="1" s="81">
      <c r="A60" s="45" t="n"/>
      <c r="B60" s="46" t="n"/>
      <c r="C60" s="1" t="n"/>
      <c r="D60" s="1" t="n"/>
      <c r="E60" s="1" t="n"/>
      <c r="F60" s="1" t="n"/>
      <c r="G60" s="1" t="n"/>
      <c r="H60" s="47" t="n"/>
      <c r="I60" s="1" t="n"/>
    </row>
    <row r="61" ht="15.75" customHeight="1" s="81">
      <c r="A61" s="45" t="n"/>
      <c r="B61" s="46" t="n"/>
      <c r="C61" s="1" t="n"/>
      <c r="D61" s="1" t="n"/>
      <c r="E61" s="1" t="n"/>
      <c r="F61" s="1" t="n"/>
      <c r="G61" s="1" t="n"/>
      <c r="H61" s="47" t="n"/>
      <c r="I61" s="1" t="n"/>
    </row>
    <row r="62" ht="15.75" customHeight="1" s="81">
      <c r="A62" s="45" t="n"/>
      <c r="B62" s="46" t="n"/>
      <c r="C62" s="1" t="n"/>
      <c r="D62" s="1" t="n"/>
      <c r="E62" s="1" t="n"/>
      <c r="F62" s="1" t="n"/>
      <c r="G62" s="1" t="n"/>
      <c r="H62" s="47" t="n"/>
      <c r="I62" s="1" t="n"/>
    </row>
    <row r="63" ht="15.75" customHeight="1" s="81">
      <c r="A63" s="45" t="n"/>
      <c r="B63" s="46" t="n"/>
      <c r="C63" s="1" t="n"/>
      <c r="D63" s="1" t="n"/>
      <c r="E63" s="1" t="n"/>
      <c r="F63" s="1" t="n"/>
      <c r="G63" s="1" t="n"/>
      <c r="H63" s="47" t="n"/>
      <c r="I63" s="1" t="n"/>
    </row>
    <row r="64" ht="15.75" customHeight="1" s="81">
      <c r="A64" s="45" t="n"/>
      <c r="B64" s="46" t="n"/>
      <c r="C64" s="1" t="n"/>
      <c r="D64" s="1" t="n"/>
      <c r="E64" s="1" t="n"/>
      <c r="F64" s="1" t="n"/>
      <c r="G64" s="1" t="n"/>
      <c r="H64" s="47" t="n"/>
      <c r="I64" s="1" t="n"/>
    </row>
    <row r="65" ht="15.75" customHeight="1" s="81">
      <c r="A65" s="45" t="n"/>
      <c r="B65" s="46" t="n"/>
      <c r="C65" s="1" t="n"/>
      <c r="D65" s="1" t="n"/>
      <c r="E65" s="1" t="n"/>
      <c r="F65" s="1" t="n"/>
      <c r="G65" s="1" t="n"/>
      <c r="H65" s="47" t="n"/>
      <c r="I65" s="1" t="n"/>
    </row>
    <row r="66" ht="15.75" customHeight="1" s="81">
      <c r="A66" s="45" t="n"/>
      <c r="B66" s="46" t="n"/>
      <c r="C66" s="1" t="n"/>
      <c r="D66" s="1" t="n"/>
      <c r="E66" s="1" t="n"/>
      <c r="F66" s="1" t="n"/>
      <c r="G66" s="1" t="n"/>
      <c r="H66" s="47" t="n"/>
      <c r="I66" s="1" t="n"/>
    </row>
    <row r="67" ht="15.75" customHeight="1" s="81">
      <c r="A67" s="45" t="n"/>
      <c r="B67" s="46" t="n"/>
      <c r="C67" s="1" t="n"/>
      <c r="D67" s="1" t="n"/>
      <c r="E67" s="1" t="n"/>
      <c r="F67" s="1" t="n"/>
      <c r="G67" s="1" t="n"/>
      <c r="H67" s="47" t="n"/>
      <c r="I67" s="1" t="n"/>
    </row>
    <row r="68" ht="15.75" customHeight="1" s="81">
      <c r="A68" s="45" t="n"/>
      <c r="B68" s="46" t="n"/>
      <c r="C68" s="1" t="n"/>
      <c r="D68" s="1" t="n"/>
      <c r="E68" s="1" t="n"/>
      <c r="F68" s="1" t="n"/>
      <c r="G68" s="1" t="n"/>
      <c r="H68" s="47" t="n"/>
      <c r="I68" s="1" t="n"/>
    </row>
    <row r="69" ht="15.75" customHeight="1" s="81">
      <c r="A69" s="45" t="n"/>
      <c r="B69" s="46" t="n"/>
      <c r="C69" s="1" t="n"/>
      <c r="D69" s="1" t="n"/>
      <c r="E69" s="1" t="n"/>
      <c r="F69" s="1" t="n"/>
      <c r="G69" s="1" t="n"/>
      <c r="H69" s="47" t="n"/>
      <c r="I69" s="1" t="n"/>
    </row>
    <row r="70" ht="15.75" customHeight="1" s="81">
      <c r="A70" s="45" t="n"/>
      <c r="B70" s="46" t="n"/>
      <c r="C70" s="1" t="n"/>
      <c r="D70" s="1" t="n"/>
      <c r="E70" s="1" t="n"/>
      <c r="F70" s="1" t="n"/>
      <c r="G70" s="1" t="n"/>
      <c r="H70" s="47" t="n"/>
      <c r="I70" s="1" t="n"/>
    </row>
    <row r="71" ht="15.75" customHeight="1" s="81">
      <c r="A71" s="45" t="n"/>
      <c r="B71" s="46" t="n"/>
      <c r="C71" s="1" t="n"/>
      <c r="D71" s="1" t="n"/>
      <c r="E71" s="1" t="n"/>
      <c r="F71" s="1" t="n"/>
      <c r="G71" s="1" t="n"/>
      <c r="H71" s="47" t="n"/>
      <c r="I71" s="1" t="n"/>
    </row>
    <row r="72" ht="15.75" customHeight="1" s="81">
      <c r="A72" s="45" t="n"/>
      <c r="B72" s="46" t="n"/>
      <c r="C72" s="1" t="n"/>
      <c r="D72" s="1" t="n"/>
      <c r="E72" s="1" t="n"/>
      <c r="F72" s="1" t="n"/>
      <c r="G72" s="1" t="n"/>
      <c r="H72" s="47" t="n"/>
      <c r="I72" s="1" t="n"/>
    </row>
    <row r="73" ht="15.75" customHeight="1" s="81">
      <c r="A73" s="45" t="n"/>
      <c r="B73" s="46" t="n"/>
      <c r="C73" s="1" t="n"/>
      <c r="D73" s="1" t="n"/>
      <c r="E73" s="1" t="n"/>
      <c r="F73" s="1" t="n"/>
      <c r="G73" s="1" t="n"/>
      <c r="H73" s="47" t="n"/>
      <c r="I73" s="1" t="n"/>
    </row>
    <row r="74" ht="15.75" customHeight="1" s="81">
      <c r="A74" s="45" t="n"/>
      <c r="B74" s="46" t="n"/>
      <c r="C74" s="1" t="n"/>
      <c r="D74" s="1" t="n"/>
      <c r="E74" s="1" t="n"/>
      <c r="F74" s="1" t="n"/>
      <c r="G74" s="1" t="n"/>
      <c r="H74" s="47" t="n"/>
      <c r="I74" s="1" t="n"/>
    </row>
    <row r="75">
      <c r="A75" s="110" t="n">
        <v>46025</v>
      </c>
      <c r="B75" t="inlineStr"/>
      <c r="C75" t="inlineStr">
        <is>
          <t>Share 0001</t>
        </is>
      </c>
      <c r="D75" t="inlineStr">
        <is>
          <t>Deposit</t>
        </is>
      </c>
      <c r="E75" t="inlineStr">
        <is>
          <t>Transfer</t>
        </is>
      </c>
      <c r="F75" t="inlineStr">
        <is>
          <t>Completed</t>
        </is>
      </c>
      <c r="G75" t="n">
        <v>60</v>
      </c>
      <c r="H75" t="inlineStr"/>
    </row>
  </sheetData>
  <dataValidations count="5">
    <dataValidation sqref="E502:E1001" showDropDown="0" showInputMessage="1" showErrorMessage="1" allowBlank="1" type="list">
      <formula1>"Gross receipts or sales,Returns and allowances,Other income,Interest income,Dividend income,Capital gains"</formula1>
    </dataValidation>
    <dataValidation sqref="F502:F1001" showDropDown="0" showInputMessage="1" showErrorMessage="1" allowBlank="1" type="list">
      <formula1>"Cash,Check,Bank Transfer,Credit Card,ACH,Wire Transfer,PayPal,Other"</formula1>
    </dataValidation>
    <dataValidation sqref="G2:G1001" showDropDown="0" showInputMessage="1" showErrorMessage="1" allowBlank="1" type="list">
      <formula1>"Paid,Pending,Partial,Overdue,Cancelled"</formula1>
    </dataValidation>
    <dataValidation sqref="F2:F501" showDropDown="0" showInputMessage="1" showErrorMessage="1" allowBlank="1" type="list">
      <formula1>"Cash,Check,ACH,Wire Transfer,Debit Card,Credit Card,PayPal,Venmo,Zelle,Cash App,Other"</formula1>
    </dataValidation>
    <dataValidation sqref="E2:E501" showDropDown="0" showInputMessage="1" showErrorMessage="1" allowBlank="1" type="list">
      <formula1>"Gross receipts or sales,Returns and allowances,Other income,Interest income,Dividend income,Capital gains,Deposit"</formula1>
    </dataValidation>
  </dataValidations>
  <printOptions horizontalCentered="1"/>
  <pageMargins left="0.25" right="0.25" top="0.75" bottom="0.75" header="0.3" footer="0.3"/>
  <pageSetup orientation="landscape" scale="7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83"/>
  <sheetViews>
    <sheetView zoomScaleNormal="100" workbookViewId="0">
      <selection activeCell="A2" sqref="A2:J36"/>
    </sheetView>
  </sheetViews>
  <sheetFormatPr baseColWidth="10" defaultRowHeight="15"/>
  <cols>
    <col width="12.5703125" bestFit="1" customWidth="1" style="4" min="1" max="1"/>
    <col width="28.42578125" customWidth="1" style="81" min="2" max="2"/>
    <col width="22.28515625" bestFit="1" customWidth="1" style="81" min="3" max="3"/>
    <col width="26.140625" bestFit="1" customWidth="1" style="81" min="4" max="4"/>
    <col width="26.85546875" bestFit="1" customWidth="1" style="81" min="5" max="5"/>
    <col width="17" bestFit="1" customWidth="1" style="81" min="6" max="6"/>
    <col width="26.5703125" bestFit="1" customWidth="1" style="81" min="7" max="7"/>
    <col width="13.7109375" customWidth="1" style="81" min="8" max="8"/>
    <col width="15.42578125" bestFit="1" customWidth="1" style="5" min="9" max="9"/>
    <col width="13.28515625" bestFit="1" customWidth="1" style="81" min="10" max="10"/>
  </cols>
  <sheetData>
    <row r="1">
      <c r="A1" s="30" t="inlineStr">
        <is>
          <t>Date</t>
        </is>
      </c>
      <c r="B1" s="23" t="inlineStr">
        <is>
          <t>Document Number</t>
        </is>
      </c>
      <c r="C1" s="23" t="inlineStr">
        <is>
          <t>Description</t>
        </is>
      </c>
      <c r="D1" s="23" t="inlineStr">
        <is>
          <t>Supplier</t>
        </is>
      </c>
      <c r="E1" s="23" t="inlineStr">
        <is>
          <t>Category</t>
        </is>
      </c>
      <c r="F1" s="49" t="inlineStr">
        <is>
          <t>Type</t>
        </is>
      </c>
      <c r="G1" s="23" t="inlineStr">
        <is>
          <t>Payment Method</t>
        </is>
      </c>
      <c r="H1" s="23" t="inlineStr">
        <is>
          <t>Status</t>
        </is>
      </c>
      <c r="I1" s="24" t="inlineStr">
        <is>
          <t>Amount</t>
        </is>
      </c>
      <c r="J1" s="23" t="inlineStr">
        <is>
          <t>Notes</t>
        </is>
      </c>
    </row>
    <row r="2">
      <c r="A2" s="40" t="n"/>
      <c r="B2" s="41" t="n"/>
    </row>
    <row r="3">
      <c r="A3" s="40" t="n"/>
      <c r="B3" s="41" t="n"/>
    </row>
    <row r="4">
      <c r="A4" s="40" t="n"/>
      <c r="B4" s="41" t="n"/>
    </row>
    <row r="5">
      <c r="A5" s="40" t="n"/>
      <c r="B5" s="41" t="n"/>
    </row>
    <row r="6">
      <c r="A6" s="40" t="n"/>
      <c r="B6" s="41" t="n"/>
    </row>
    <row r="7">
      <c r="A7" s="40" t="n"/>
      <c r="B7" s="41" t="n"/>
    </row>
    <row r="8">
      <c r="A8" s="40" t="n"/>
      <c r="B8" s="41" t="n"/>
    </row>
    <row r="9">
      <c r="A9" s="40" t="n"/>
      <c r="B9" s="41" t="n"/>
    </row>
    <row r="10">
      <c r="A10" s="40" t="n"/>
      <c r="B10" s="41" t="n"/>
    </row>
    <row r="11">
      <c r="A11" s="40" t="n"/>
      <c r="B11" s="41" t="n"/>
    </row>
    <row r="12">
      <c r="A12" s="40" t="n"/>
      <c r="B12" s="41" t="n"/>
    </row>
    <row r="13">
      <c r="A13" s="40" t="n"/>
      <c r="B13" s="41" t="n"/>
    </row>
    <row r="14">
      <c r="A14" s="40" t="n"/>
      <c r="B14" s="41" t="n"/>
    </row>
    <row r="15">
      <c r="A15" s="40" t="n"/>
      <c r="B15" s="41" t="n"/>
    </row>
    <row r="16">
      <c r="A16" s="40" t="n"/>
      <c r="B16" s="41" t="n"/>
    </row>
    <row r="17">
      <c r="A17" s="40" t="n"/>
      <c r="B17" s="41" t="n"/>
    </row>
    <row r="18">
      <c r="A18" s="40" t="n"/>
      <c r="B18" s="41" t="n"/>
    </row>
    <row r="19">
      <c r="A19" s="40" t="n"/>
      <c r="B19" s="41" t="n"/>
    </row>
    <row r="20">
      <c r="A20" s="40" t="n"/>
      <c r="B20" s="41" t="n"/>
    </row>
    <row r="21">
      <c r="A21" s="40" t="n"/>
      <c r="B21" s="41" t="n"/>
    </row>
    <row r="22">
      <c r="A22" s="40" t="n"/>
      <c r="B22" s="41" t="n"/>
    </row>
    <row r="23">
      <c r="A23" s="40" t="n"/>
      <c r="B23" s="41" t="n"/>
    </row>
    <row r="24">
      <c r="A24" s="40" t="n"/>
      <c r="B24" s="41" t="n"/>
    </row>
    <row r="25">
      <c r="A25" s="40" t="n"/>
      <c r="B25" s="41" t="n"/>
    </row>
    <row r="26">
      <c r="A26" s="40" t="n"/>
      <c r="B26" s="41" t="n"/>
    </row>
    <row r="27">
      <c r="A27" s="40" t="n"/>
      <c r="B27" s="41" t="n"/>
    </row>
    <row r="28">
      <c r="A28" s="40" t="n"/>
      <c r="B28" s="41" t="n"/>
    </row>
    <row r="29">
      <c r="A29" s="40" t="n"/>
      <c r="B29" s="41" t="n"/>
    </row>
    <row r="30">
      <c r="A30" s="40" t="n"/>
      <c r="B30" s="41" t="n"/>
    </row>
    <row r="31">
      <c r="A31" s="40" t="n"/>
      <c r="B31" s="41" t="n"/>
    </row>
    <row r="32">
      <c r="A32" s="40" t="n"/>
      <c r="B32" s="41" t="n"/>
    </row>
    <row r="33">
      <c r="A33" s="40" t="n"/>
      <c r="B33" s="41" t="n"/>
    </row>
    <row r="34">
      <c r="A34" s="40" t="n"/>
      <c r="B34" s="41" t="n"/>
    </row>
    <row r="35">
      <c r="A35" s="40" t="n"/>
      <c r="B35" s="41" t="n"/>
    </row>
    <row r="36">
      <c r="A36" s="40" t="n"/>
      <c r="B36" s="41" t="n"/>
    </row>
    <row r="37">
      <c r="A37" s="40" t="n"/>
      <c r="B37" s="41" t="n"/>
      <c r="F37">
        <f>IF(E37="","",IFERROR(_xlfn.XLOOKUP(E37,Settings!$F$2:$F$36,Settings!$E$2:$E$36,""),""))</f>
        <v/>
      </c>
    </row>
    <row r="38">
      <c r="A38" s="40" t="n"/>
      <c r="B38" s="41" t="n"/>
      <c r="F38">
        <f>IF(E38="","",IFERROR(_xlfn.XLOOKUP(E38,Settings!$F$2:$F$36,Settings!$E$2:$E$36,""),""))</f>
        <v/>
      </c>
    </row>
    <row r="39">
      <c r="A39" s="40" t="n"/>
      <c r="B39" s="41" t="n"/>
      <c r="F39">
        <f>IF(E39="","",IFERROR(_xlfn.XLOOKUP(E39,Settings!$F$2:$F$36,Settings!$E$2:$E$36,""),""))</f>
        <v/>
      </c>
    </row>
    <row r="40">
      <c r="A40" s="40" t="n"/>
      <c r="B40" s="41" t="n"/>
      <c r="F40">
        <f>IF(E40="","",IFERROR(_xlfn.XLOOKUP(E40,Settings!$F$2:$F$36,Settings!$E$2:$E$36,""),""))</f>
        <v/>
      </c>
    </row>
    <row r="41">
      <c r="A41" s="40" t="n"/>
      <c r="B41" s="41" t="n"/>
      <c r="F41">
        <f>IF(E41="","",IFERROR(_xlfn.XLOOKUP(E41,Settings!$F$2:$F$36,Settings!$E$2:$E$36,""),""))</f>
        <v/>
      </c>
    </row>
    <row r="42">
      <c r="A42" s="40" t="n"/>
      <c r="B42" s="41" t="n"/>
      <c r="F42">
        <f>IF(E42="","",IFERROR(_xlfn.XLOOKUP(E42,Settings!$F$2:$F$36,Settings!$E$2:$E$36,""),""))</f>
        <v/>
      </c>
    </row>
    <row r="43">
      <c r="A43" s="40" t="n"/>
      <c r="B43" s="41" t="n"/>
      <c r="F43">
        <f>IF(E43="","",IFERROR(_xlfn.XLOOKUP(E43,Settings!$F$2:$F$36,Settings!$E$2:$E$36,""),""))</f>
        <v/>
      </c>
    </row>
    <row r="44">
      <c r="A44" s="40" t="n"/>
      <c r="B44" s="41" t="n"/>
      <c r="F44">
        <f>IF(E44="","",IFERROR(_xlfn.XLOOKUP(E44,Settings!$F$2:$F$36,Settings!$E$2:$E$36,""),""))</f>
        <v/>
      </c>
    </row>
    <row r="45">
      <c r="A45" s="40" t="n"/>
      <c r="B45" s="41" t="n"/>
      <c r="F45">
        <f>IF(E45="","",IFERROR(_xlfn.XLOOKUP(E45,Settings!$F$2:$F$36,Settings!$E$2:$E$36,""),""))</f>
        <v/>
      </c>
    </row>
    <row r="46">
      <c r="A46" s="40" t="n"/>
      <c r="B46" s="41" t="n"/>
      <c r="F46">
        <f>IF(E46="","",IFERROR(_xlfn.XLOOKUP(E46,Settings!$F$2:$F$36,Settings!$E$2:$E$36,""),""))</f>
        <v/>
      </c>
    </row>
    <row r="47">
      <c r="A47" s="40" t="n"/>
      <c r="B47" s="41" t="n"/>
      <c r="F47">
        <f>IF(E47="","",IFERROR(_xlfn.XLOOKUP(E47,Settings!$F$2:$F$36,Settings!$E$2:$E$36,""),""))</f>
        <v/>
      </c>
    </row>
    <row r="48">
      <c r="A48" s="40" t="n"/>
      <c r="B48" s="41" t="n"/>
      <c r="F48">
        <f>IF(E48="","",IFERROR(_xlfn.XLOOKUP(E48,Settings!$F$2:$F$36,Settings!$E$2:$E$36,""),""))</f>
        <v/>
      </c>
    </row>
    <row r="49">
      <c r="A49" s="40" t="n"/>
      <c r="B49" s="41" t="n"/>
      <c r="F49">
        <f>IF(E49="","",IFERROR(_xlfn.XLOOKUP(E49,Settings!$F$2:$F$36,Settings!$E$2:$E$36,""),""))</f>
        <v/>
      </c>
    </row>
    <row r="50">
      <c r="A50" s="40" t="n"/>
      <c r="B50" s="41" t="n"/>
      <c r="F50">
        <f>IF(E50="","",IFERROR(_xlfn.XLOOKUP(E50,Settings!$F$2:$F$36,Settings!$E$2:$E$36,""),""))</f>
        <v/>
      </c>
    </row>
    <row r="51">
      <c r="A51" s="40" t="n"/>
      <c r="B51" s="41" t="n"/>
      <c r="F51">
        <f>IF(E51="","",IFERROR(_xlfn.XLOOKUP(E51,Settings!$F$2:$F$36,Settings!$E$2:$E$36,""),""))</f>
        <v/>
      </c>
    </row>
    <row r="52">
      <c r="A52" s="40" t="n"/>
      <c r="B52" s="41" t="n"/>
      <c r="F52">
        <f>IF(E52="","",IFERROR(_xlfn.XLOOKUP(E52,Settings!$F$2:$F$36,Settings!$E$2:$E$36,""),""))</f>
        <v/>
      </c>
    </row>
    <row r="53">
      <c r="A53" s="40" t="n"/>
      <c r="B53" s="41" t="n"/>
      <c r="F53">
        <f>IF(E53="","",IFERROR(_xlfn.XLOOKUP(E53,Settings!$F$2:$F$36,Settings!$E$2:$E$36,""),""))</f>
        <v/>
      </c>
    </row>
    <row r="54">
      <c r="A54" s="40" t="n"/>
      <c r="B54" s="41" t="n"/>
      <c r="F54">
        <f>IF(E54="","",IFERROR(_xlfn.XLOOKUP(E54,Settings!$F$2:$F$36,Settings!$E$2:$E$36,""),""))</f>
        <v/>
      </c>
    </row>
    <row r="55">
      <c r="A55" s="40" t="n"/>
      <c r="B55" s="41" t="n"/>
      <c r="F55">
        <f>IF(E55="","",IFERROR(_xlfn.XLOOKUP(E55,Settings!$F$2:$F$36,Settings!$E$2:$E$36,""),""))</f>
        <v/>
      </c>
    </row>
    <row r="56">
      <c r="A56" s="40" t="n"/>
      <c r="B56" s="41" t="n"/>
      <c r="F56">
        <f>IF(E56="","",IFERROR(_xlfn.XLOOKUP(E56,Settings!$F$2:$F$36,Settings!$E$2:$E$36,""),""))</f>
        <v/>
      </c>
    </row>
    <row r="57">
      <c r="A57" s="40" t="n"/>
      <c r="B57" s="41" t="n"/>
      <c r="F57">
        <f>IF(E57="","",IFERROR(_xlfn.XLOOKUP(E57,Settings!$F$2:$F$36,Settings!$E$2:$E$36,""),""))</f>
        <v/>
      </c>
    </row>
    <row r="58">
      <c r="A58" s="40" t="n"/>
      <c r="B58" s="41" t="n"/>
      <c r="F58">
        <f>IF(E58="","",IFERROR(_xlfn.XLOOKUP(E58,Settings!$F$2:$F$36,Settings!$E$2:$E$36,""),""))</f>
        <v/>
      </c>
    </row>
    <row r="59">
      <c r="A59" s="40" t="n"/>
      <c r="B59" s="41" t="n"/>
      <c r="F59">
        <f>IF(E59="","",IFERROR(_xlfn.XLOOKUP(E59,Settings!$F$2:$F$36,Settings!$E$2:$E$36,""),""))</f>
        <v/>
      </c>
    </row>
    <row r="60">
      <c r="A60" s="40" t="n"/>
      <c r="B60" s="41" t="n"/>
      <c r="F60">
        <f>IF(E60="","",IFERROR(_xlfn.XLOOKUP(E60,Settings!$F$2:$F$36,Settings!$E$2:$E$36,""),""))</f>
        <v/>
      </c>
    </row>
    <row r="61">
      <c r="A61" s="40" t="n"/>
      <c r="B61" s="41" t="n"/>
      <c r="F61">
        <f>IF(E61="","",IFERROR(_xlfn.XLOOKUP(E61,Settings!$F$2:$F$36,Settings!$E$2:$E$36,""),""))</f>
        <v/>
      </c>
    </row>
    <row r="62">
      <c r="A62" s="40" t="n"/>
      <c r="B62" s="41" t="n"/>
      <c r="F62">
        <f>IF(E62="","",IFERROR(_xlfn.XLOOKUP(E62,Settings!$F$2:$F$36,Settings!$E$2:$E$36,""),""))</f>
        <v/>
      </c>
    </row>
    <row r="63">
      <c r="A63" s="40" t="n"/>
      <c r="B63" s="41" t="n"/>
      <c r="F63">
        <f>IF(E63="","",IFERROR(_xlfn.XLOOKUP(E63,Settings!$F$2:$F$36,Settings!$E$2:$E$36,""),""))</f>
        <v/>
      </c>
    </row>
    <row r="64">
      <c r="A64" s="40" t="n"/>
      <c r="B64" s="41" t="n"/>
      <c r="F64">
        <f>IF(E64="","",IFERROR(_xlfn.XLOOKUP(E64,Settings!$F$2:$F$36,Settings!$E$2:$E$36,""),""))</f>
        <v/>
      </c>
    </row>
    <row r="65">
      <c r="A65" s="40" t="n"/>
      <c r="B65" s="41" t="n"/>
      <c r="F65">
        <f>IF(E65="","",IFERROR(_xlfn.XLOOKUP(E65,Settings!$F$2:$F$36,Settings!$E$2:$E$36,""),""))</f>
        <v/>
      </c>
    </row>
    <row r="66">
      <c r="A66" s="40" t="n"/>
      <c r="B66" s="41" t="n"/>
      <c r="F66">
        <f>IF(E66="","",IFERROR(_xlfn.XLOOKUP(E66,Settings!$F$2:$F$36,Settings!$E$2:$E$36,""),""))</f>
        <v/>
      </c>
    </row>
    <row r="67">
      <c r="A67" s="40" t="n"/>
      <c r="B67" s="41" t="n"/>
      <c r="F67">
        <f>IF(E67="","",IFERROR(_xlfn.XLOOKUP(E67,Settings!$F$2:$F$36,Settings!$E$2:$E$36,""),""))</f>
        <v/>
      </c>
    </row>
    <row r="68">
      <c r="A68" s="40" t="n"/>
      <c r="B68" s="41" t="n"/>
      <c r="F68">
        <f>IF(E68="","",IFERROR(_xlfn.XLOOKUP(E68,Settings!$F$2:$F$36,Settings!$E$2:$E$36,""),""))</f>
        <v/>
      </c>
    </row>
    <row r="69">
      <c r="A69" s="40" t="n"/>
      <c r="B69" s="41" t="n"/>
      <c r="F69">
        <f>IF(E69="","",IFERROR(_xlfn.XLOOKUP(E69,Settings!$F$2:$F$36,Settings!$E$2:$E$36,""),""))</f>
        <v/>
      </c>
    </row>
    <row r="70">
      <c r="A70" s="40" t="n"/>
      <c r="B70" s="41" t="n"/>
      <c r="F70">
        <f>IF(E70="","",IFERROR(_xlfn.XLOOKUP(E70,Settings!$F$2:$F$36,Settings!$E$2:$E$36,""),""))</f>
        <v/>
      </c>
    </row>
    <row r="71">
      <c r="A71" s="40" t="n"/>
      <c r="B71" s="41" t="n"/>
      <c r="F71">
        <f>IF(E71="","",IFERROR(_xlfn.XLOOKUP(E71,Settings!$F$2:$F$36,Settings!$E$2:$E$36,""),""))</f>
        <v/>
      </c>
    </row>
    <row r="72">
      <c r="A72" s="40" t="n"/>
      <c r="B72" s="41" t="n"/>
      <c r="F72">
        <f>IF(E72="","",IFERROR(_xlfn.XLOOKUP(E72,Settings!$F$2:$F$36,Settings!$E$2:$E$36,""),""))</f>
        <v/>
      </c>
    </row>
    <row r="73">
      <c r="A73" s="40" t="n"/>
      <c r="B73" s="41" t="n"/>
      <c r="F73">
        <f>IF(E73="","",IFERROR(_xlfn.XLOOKUP(E73,Settings!$F$2:$F$36,Settings!$E$2:$E$36,""),""))</f>
        <v/>
      </c>
    </row>
    <row r="74">
      <c r="A74" s="40" t="n"/>
      <c r="B74" s="41" t="n"/>
      <c r="F74">
        <f>IF(E74="","",IFERROR(_xlfn.XLOOKUP(E74,Settings!$F$2:$F$36,Settings!$E$2:$E$36,""),""))</f>
        <v/>
      </c>
    </row>
    <row r="75">
      <c r="A75" s="40" t="n"/>
      <c r="B75" s="41" t="n"/>
      <c r="F75">
        <f>IF(E75="","",IFERROR(_xlfn.XLOOKUP(E75,Settings!$F$2:$F$36,Settings!$E$2:$E$36,""),""))</f>
        <v/>
      </c>
    </row>
    <row r="76">
      <c r="A76" s="40" t="n"/>
      <c r="B76" s="41" t="n"/>
      <c r="F76">
        <f>IF(E76="","",IFERROR(_xlfn.XLOOKUP(E76,Settings!$F$2:$F$36,Settings!$E$2:$E$36,""),""))</f>
        <v/>
      </c>
    </row>
    <row r="77">
      <c r="A77" s="40" t="n"/>
      <c r="B77" s="41" t="n"/>
      <c r="F77">
        <f>IF(E77="","",IFERROR(_xlfn.XLOOKUP(E77,Settings!$F$2:$F$36,Settings!$E$2:$E$36,""),""))</f>
        <v/>
      </c>
    </row>
    <row r="78">
      <c r="A78" s="40" t="n"/>
      <c r="B78" s="41" t="n"/>
      <c r="F78">
        <f>IF(E78="","",IFERROR(_xlfn.XLOOKUP(E78,Settings!$F$2:$F$36,Settings!$E$2:$E$36,""),""))</f>
        <v/>
      </c>
    </row>
    <row r="79">
      <c r="A79" s="40" t="n"/>
      <c r="B79" s="41" t="n"/>
      <c r="F79">
        <f>IF(E79="","",IFERROR(_xlfn.XLOOKUP(E79,Settings!$F$2:$F$36,Settings!$E$2:$E$36,""),""))</f>
        <v/>
      </c>
    </row>
    <row r="80">
      <c r="A80" s="40" t="n"/>
      <c r="B80" s="41" t="n"/>
      <c r="F80">
        <f>IF(E80="","",IFERROR(_xlfn.XLOOKUP(E80,Settings!$F$2:$F$36,Settings!$E$2:$E$36,""),""))</f>
        <v/>
      </c>
    </row>
    <row r="81">
      <c r="A81" s="40" t="n"/>
      <c r="B81" s="41" t="n"/>
      <c r="F81">
        <f>IF(E81="","",IFERROR(_xlfn.XLOOKUP(E81,Settings!$F$2:$F$36,Settings!$E$2:$E$36,""),""))</f>
        <v/>
      </c>
    </row>
    <row r="82">
      <c r="A82" s="40" t="n"/>
      <c r="B82" s="41" t="n"/>
      <c r="F82">
        <f>IF(E82="","",IFERROR(_xlfn.XLOOKUP(E82,Settings!$F$2:$F$36,Settings!$E$2:$E$36,""),""))</f>
        <v/>
      </c>
    </row>
    <row r="83">
      <c r="A83" s="40" t="n"/>
      <c r="B83" s="41" t="n"/>
      <c r="F83">
        <f>IF(E83="","",IFERROR(_xlfn.XLOOKUP(E83,Settings!$F$2:$F$36,Settings!$E$2:$E$36,""),""))</f>
        <v/>
      </c>
    </row>
    <row r="84">
      <c r="A84" s="40" t="n"/>
      <c r="B84" s="41" t="n"/>
      <c r="F84">
        <f>IF(E84="","",IFERROR(_xlfn.XLOOKUP(E84,Settings!$F$2:$F$36,Settings!$E$2:$E$36,""),""))</f>
        <v/>
      </c>
    </row>
    <row r="85">
      <c r="A85" s="40" t="n"/>
      <c r="B85" s="41" t="n"/>
      <c r="F85">
        <f>IF(E85="","",IFERROR(_xlfn.XLOOKUP(E85,Settings!$F$2:$F$36,Settings!$E$2:$E$36,""),""))</f>
        <v/>
      </c>
    </row>
    <row r="86">
      <c r="A86" s="40" t="n"/>
      <c r="B86" s="41" t="n"/>
      <c r="F86">
        <f>IF(E86="","",IFERROR(_xlfn.XLOOKUP(E86,Settings!$F$2:$F$36,Settings!$E$2:$E$36,""),""))</f>
        <v/>
      </c>
    </row>
    <row r="87">
      <c r="A87" s="40" t="n"/>
      <c r="B87" s="41" t="n"/>
      <c r="F87">
        <f>IF(E87="","",IFERROR(_xlfn.XLOOKUP(E87,Settings!$F$2:$F$36,Settings!$E$2:$E$36,""),""))</f>
        <v/>
      </c>
    </row>
    <row r="88">
      <c r="A88" s="40" t="n"/>
      <c r="B88" s="41" t="n"/>
      <c r="F88">
        <f>IF(E88="","",IFERROR(_xlfn.XLOOKUP(E88,Settings!$F$2:$F$36,Settings!$E$2:$E$36,""),""))</f>
        <v/>
      </c>
    </row>
    <row r="89">
      <c r="A89" s="40" t="n"/>
      <c r="B89" s="41" t="n"/>
      <c r="F89">
        <f>IF(E89="","",IFERROR(_xlfn.XLOOKUP(E89,Settings!$F$2:$F$36,Settings!$E$2:$E$36,""),""))</f>
        <v/>
      </c>
    </row>
    <row r="90">
      <c r="A90" s="40" t="n"/>
      <c r="B90" s="41" t="n"/>
      <c r="F90">
        <f>IF(E90="","",IFERROR(_xlfn.XLOOKUP(E90,Settings!$F$2:$F$36,Settings!$E$2:$E$36,""),""))</f>
        <v/>
      </c>
    </row>
    <row r="91">
      <c r="A91" s="40" t="n"/>
      <c r="B91" s="41" t="n"/>
      <c r="F91">
        <f>IF(E91="","",IFERROR(_xlfn.XLOOKUP(E91,Settings!$F$2:$F$36,Settings!$E$2:$E$36,""),""))</f>
        <v/>
      </c>
    </row>
    <row r="92">
      <c r="A92" s="40" t="n"/>
      <c r="B92" s="41" t="n"/>
      <c r="F92">
        <f>IF(E92="","",IFERROR(_xlfn.XLOOKUP(E92,Settings!$F$2:$F$36,Settings!$E$2:$E$36,""),""))</f>
        <v/>
      </c>
    </row>
    <row r="93">
      <c r="A93" s="40" t="n"/>
      <c r="B93" s="41" t="n"/>
      <c r="F93">
        <f>IF(E93="","",IFERROR(_xlfn.XLOOKUP(E93,Settings!$F$2:$F$36,Settings!$E$2:$E$36,""),""))</f>
        <v/>
      </c>
    </row>
    <row r="94">
      <c r="A94" s="40" t="n"/>
      <c r="B94" s="41" t="n"/>
      <c r="F94">
        <f>IF(E94="","",IFERROR(_xlfn.XLOOKUP(E94,Settings!$F$2:$F$36,Settings!$E$2:$E$36,""),""))</f>
        <v/>
      </c>
    </row>
    <row r="95">
      <c r="A95" s="40" t="n"/>
      <c r="B95" s="41" t="n"/>
      <c r="F95">
        <f>IF(E95="","",IFERROR(_xlfn.XLOOKUP(E95,Settings!$F$2:$F$36,Settings!$E$2:$E$36,""),""))</f>
        <v/>
      </c>
    </row>
    <row r="96">
      <c r="A96" s="40" t="n"/>
      <c r="B96" s="41" t="n"/>
      <c r="F96">
        <f>IF(E96="","",IFERROR(_xlfn.XLOOKUP(E96,Settings!$F$2:$F$36,Settings!$E$2:$E$36,""),""))</f>
        <v/>
      </c>
    </row>
    <row r="97">
      <c r="A97" s="40" t="n"/>
      <c r="B97" s="41" t="n"/>
      <c r="F97">
        <f>IF(E97="","",IFERROR(_xlfn.XLOOKUP(E97,Settings!$F$2:$F$36,Settings!$E$2:$E$36,""),""))</f>
        <v/>
      </c>
    </row>
    <row r="98">
      <c r="A98" s="40" t="n"/>
      <c r="B98" s="41" t="n"/>
      <c r="F98">
        <f>IF(E98="","",IFERROR(_xlfn.XLOOKUP(E98,Settings!$F$2:$F$36,Settings!$E$2:$E$36,""),""))</f>
        <v/>
      </c>
    </row>
    <row r="99">
      <c r="A99" s="40" t="n"/>
      <c r="B99" s="41" t="n"/>
      <c r="F99">
        <f>IF(E99="","",IFERROR(_xlfn.XLOOKUP(E99,Settings!$F$2:$F$36,Settings!$E$2:$E$36,""),""))</f>
        <v/>
      </c>
    </row>
    <row r="100">
      <c r="A100" s="40" t="n"/>
      <c r="B100" s="41" t="n"/>
      <c r="F100">
        <f>IF(E100="","",IFERROR(_xlfn.XLOOKUP(E100,Settings!$F$2:$F$36,Settings!$E$2:$E$36,""),""))</f>
        <v/>
      </c>
    </row>
    <row r="101">
      <c r="A101" s="40" t="n"/>
      <c r="B101" s="41" t="n"/>
      <c r="F101">
        <f>IF(E101="","",IFERROR(_xlfn.XLOOKUP(E101,Settings!$F$2:$F$36,Settings!$E$2:$E$36,""),""))</f>
        <v/>
      </c>
    </row>
    <row r="102">
      <c r="A102" s="40" t="n"/>
      <c r="B102" s="41" t="n"/>
      <c r="F102">
        <f>IF(E102="","",IFERROR(_xlfn.XLOOKUP(E102,Settings!$F$2:$F$36,Settings!$E$2:$E$36,""),""))</f>
        <v/>
      </c>
    </row>
    <row r="103">
      <c r="A103" s="40" t="n"/>
      <c r="B103" s="41" t="n"/>
      <c r="F103">
        <f>IF(E103="","",IFERROR(_xlfn.XLOOKUP(E103,Settings!$F$2:$F$36,Settings!$E$2:$E$36,""),""))</f>
        <v/>
      </c>
    </row>
    <row r="104">
      <c r="A104" s="40" t="n"/>
      <c r="B104" s="41" t="n"/>
      <c r="F104">
        <f>IF(E104="","",IFERROR(_xlfn.XLOOKUP(E104,Settings!$F$2:$F$36,Settings!$E$2:$E$36,""),""))</f>
        <v/>
      </c>
    </row>
    <row r="105">
      <c r="A105" s="40" t="n"/>
      <c r="B105" s="41" t="n"/>
      <c r="F105">
        <f>IF(E105="","",IFERROR(_xlfn.XLOOKUP(E105,Settings!$F$2:$F$36,Settings!$E$2:$E$36,""),""))</f>
        <v/>
      </c>
    </row>
    <row r="106">
      <c r="A106" s="40" t="n"/>
      <c r="B106" s="41" t="n"/>
      <c r="F106">
        <f>IF(E106="","",IFERROR(_xlfn.XLOOKUP(E106,Settings!$F$2:$F$36,Settings!$E$2:$E$36,""),""))</f>
        <v/>
      </c>
    </row>
    <row r="107">
      <c r="A107" s="40" t="n"/>
      <c r="B107" s="41" t="n"/>
      <c r="F107">
        <f>IF(E107="","",IFERROR(_xlfn.XLOOKUP(E107,Settings!$F$2:$F$36,Settings!$E$2:$E$36,""),""))</f>
        <v/>
      </c>
    </row>
    <row r="108">
      <c r="A108" s="40" t="n"/>
      <c r="B108" s="41" t="n"/>
      <c r="F108">
        <f>IF(E108="","",IFERROR(_xlfn.XLOOKUP(E108,Settings!$F$2:$F$36,Settings!$E$2:$E$36,""),""))</f>
        <v/>
      </c>
    </row>
    <row r="109">
      <c r="A109" s="40" t="n"/>
      <c r="B109" s="41" t="n"/>
      <c r="F109">
        <f>IF(E109="","",IFERROR(_xlfn.XLOOKUP(E109,Settings!$F$2:$F$36,Settings!$E$2:$E$36,""),""))</f>
        <v/>
      </c>
    </row>
    <row r="110">
      <c r="A110" s="40" t="n"/>
      <c r="B110" s="41" t="n"/>
      <c r="F110">
        <f>IF(E110="","",IFERROR(_xlfn.XLOOKUP(E110,Settings!$F$2:$F$36,Settings!$E$2:$E$36,""),""))</f>
        <v/>
      </c>
    </row>
    <row r="111">
      <c r="A111" s="40" t="n"/>
      <c r="B111" s="41" t="n"/>
      <c r="F111">
        <f>IF(E111="","",IFERROR(_xlfn.XLOOKUP(E111,Settings!$F$2:$F$36,Settings!$E$2:$E$36,""),""))</f>
        <v/>
      </c>
    </row>
    <row r="112">
      <c r="A112" s="40" t="n"/>
      <c r="B112" s="41" t="n"/>
      <c r="F112">
        <f>IF(E112="","",IFERROR(_xlfn.XLOOKUP(E112,Settings!$F$2:$F$36,Settings!$E$2:$E$36,""),""))</f>
        <v/>
      </c>
    </row>
    <row r="113">
      <c r="A113" s="40" t="n"/>
      <c r="B113" s="41" t="n"/>
      <c r="F113">
        <f>IF(E113="","",IFERROR(_xlfn.XLOOKUP(E113,Settings!$F$2:$F$36,Settings!$E$2:$E$36,""),""))</f>
        <v/>
      </c>
    </row>
    <row r="114">
      <c r="A114" s="40" t="n"/>
      <c r="B114" s="41" t="n"/>
      <c r="F114">
        <f>IF(E114="","",IFERROR(_xlfn.XLOOKUP(E114,Settings!$F$2:$F$36,Settings!$E$2:$E$36,""),""))</f>
        <v/>
      </c>
    </row>
    <row r="115">
      <c r="A115" s="40" t="n"/>
      <c r="B115" s="41" t="n"/>
      <c r="F115">
        <f>IF(E115="","",IFERROR(_xlfn.XLOOKUP(E115,Settings!$F$2:$F$36,Settings!$E$2:$E$36,""),""))</f>
        <v/>
      </c>
    </row>
    <row r="116">
      <c r="A116" s="40" t="n"/>
      <c r="B116" s="41" t="n"/>
      <c r="F116">
        <f>IF(E116="","",IFERROR(_xlfn.XLOOKUP(E116,Settings!$F$2:$F$36,Settings!$E$2:$E$36,""),""))</f>
        <v/>
      </c>
    </row>
    <row r="117">
      <c r="A117" s="40" t="n"/>
      <c r="B117" s="41" t="n"/>
      <c r="F117">
        <f>IF(E117="","",IFERROR(_xlfn.XLOOKUP(E117,Settings!$F$2:$F$36,Settings!$E$2:$E$36,""),""))</f>
        <v/>
      </c>
    </row>
    <row r="118">
      <c r="A118" s="40" t="n"/>
      <c r="B118" s="41" t="n"/>
      <c r="F118">
        <f>IF(E118="","",IFERROR(_xlfn.XLOOKUP(E118,Settings!$F$2:$F$36,Settings!$E$2:$E$36,""),""))</f>
        <v/>
      </c>
    </row>
    <row r="119">
      <c r="A119" s="40" t="n"/>
      <c r="B119" s="41" t="n"/>
      <c r="F119">
        <f>IF(E119="","",IFERROR(_xlfn.XLOOKUP(E119,Settings!$F$2:$F$36,Settings!$E$2:$E$36,""),""))</f>
        <v/>
      </c>
    </row>
    <row r="120">
      <c r="A120" s="40" t="n"/>
      <c r="B120" s="41" t="n"/>
      <c r="F120">
        <f>IF(E120="","",IFERROR(_xlfn.XLOOKUP(E120,Settings!$F$2:$F$36,Settings!$E$2:$E$36,""),""))</f>
        <v/>
      </c>
    </row>
    <row r="121">
      <c r="A121" s="40" t="n"/>
      <c r="B121" s="41" t="n"/>
      <c r="F121">
        <f>IF(E121="","",IFERROR(_xlfn.XLOOKUP(E121,Settings!$F$2:$F$36,Settings!$E$2:$E$36,""),""))</f>
        <v/>
      </c>
    </row>
    <row r="122">
      <c r="A122" s="40" t="n"/>
      <c r="B122" s="41" t="n"/>
      <c r="F122">
        <f>IF(E122="","",IFERROR(_xlfn.XLOOKUP(E122,Settings!$F$2:$F$36,Settings!$E$2:$E$36,""),""))</f>
        <v/>
      </c>
    </row>
    <row r="123">
      <c r="A123" s="40" t="n"/>
      <c r="B123" s="41" t="n"/>
      <c r="F123">
        <f>IF(E123="","",IFERROR(_xlfn.XLOOKUP(E123,Settings!$F$2:$F$36,Settings!$E$2:$E$36,""),""))</f>
        <v/>
      </c>
    </row>
    <row r="124">
      <c r="A124" s="40" t="n"/>
      <c r="B124" s="41" t="n"/>
      <c r="F124">
        <f>IF(E124="","",IFERROR(_xlfn.XLOOKUP(E124,Settings!$F$2:$F$36,Settings!$E$2:$E$36,""),""))</f>
        <v/>
      </c>
    </row>
    <row r="125">
      <c r="A125" s="40" t="n"/>
      <c r="B125" s="41" t="n"/>
      <c r="F125">
        <f>IF(E125="","",IFERROR(_xlfn.XLOOKUP(E125,Settings!$F$2:$F$36,Settings!$E$2:$E$36,""),""))</f>
        <v/>
      </c>
    </row>
    <row r="126">
      <c r="A126" s="40" t="n"/>
      <c r="B126" s="41" t="n"/>
      <c r="F126">
        <f>IF(E126="","",IFERROR(_xlfn.XLOOKUP(E126,Settings!$F$2:$F$36,Settings!$E$2:$E$36,""),""))</f>
        <v/>
      </c>
    </row>
    <row r="127">
      <c r="A127" s="40" t="n"/>
      <c r="B127" s="41" t="n"/>
      <c r="F127">
        <f>IF(E127="","",IFERROR(_xlfn.XLOOKUP(E127,Settings!$F$2:$F$36,Settings!$E$2:$E$36,""),""))</f>
        <v/>
      </c>
    </row>
    <row r="128">
      <c r="A128" s="40" t="n"/>
      <c r="B128" s="41" t="n"/>
      <c r="F128">
        <f>IF(E128="","",IFERROR(_xlfn.XLOOKUP(E128,Settings!$F$2:$F$36,Settings!$E$2:$E$36,""),""))</f>
        <v/>
      </c>
    </row>
    <row r="129">
      <c r="A129" s="40" t="n"/>
      <c r="B129" s="41" t="n"/>
      <c r="F129">
        <f>IF(E129="","",IFERROR(_xlfn.XLOOKUP(E129,Settings!$F$2:$F$36,Settings!$E$2:$E$36,""),""))</f>
        <v/>
      </c>
    </row>
    <row r="130">
      <c r="A130" s="40" t="n"/>
      <c r="B130" s="41" t="n"/>
      <c r="F130">
        <f>IF(E130="","",IFERROR(_xlfn.XLOOKUP(E130,Settings!$F$2:$F$36,Settings!$E$2:$E$36,""),""))</f>
        <v/>
      </c>
    </row>
    <row r="131">
      <c r="A131" s="40" t="n"/>
      <c r="B131" s="41" t="n"/>
      <c r="F131">
        <f>IF(E131="","",IFERROR(_xlfn.XLOOKUP(E131,Settings!$F$2:$F$36,Settings!$E$2:$E$36,""),""))</f>
        <v/>
      </c>
    </row>
    <row r="132">
      <c r="A132" s="40" t="n"/>
      <c r="B132" s="41" t="n"/>
      <c r="F132">
        <f>IF(E132="","",IFERROR(_xlfn.XLOOKUP(E132,Settings!$F$2:$F$36,Settings!$E$2:$E$36,""),""))</f>
        <v/>
      </c>
    </row>
    <row r="133">
      <c r="A133" s="40" t="n"/>
      <c r="B133" s="41" t="n"/>
      <c r="F133">
        <f>IF(E133="","",IFERROR(_xlfn.XLOOKUP(E133,Settings!$F$2:$F$36,Settings!$E$2:$E$36,""),""))</f>
        <v/>
      </c>
    </row>
    <row r="134">
      <c r="A134" s="40" t="n"/>
      <c r="B134" s="41" t="n"/>
      <c r="F134">
        <f>IF(E134="","",IFERROR(_xlfn.XLOOKUP(E134,Settings!$F$2:$F$36,Settings!$E$2:$E$36,""),""))</f>
        <v/>
      </c>
    </row>
    <row r="135">
      <c r="A135" s="40" t="n"/>
      <c r="B135" s="41" t="n"/>
      <c r="F135">
        <f>IF(E135="","",IFERROR(_xlfn.XLOOKUP(E135,Settings!$F$2:$F$36,Settings!$E$2:$E$36,""),""))</f>
        <v/>
      </c>
    </row>
    <row r="136">
      <c r="A136" s="40" t="n"/>
      <c r="B136" s="41" t="n"/>
      <c r="F136">
        <f>IF(E136="","",IFERROR(_xlfn.XLOOKUP(E136,Settings!$F$2:$F$36,Settings!$E$2:$E$36,""),""))</f>
        <v/>
      </c>
    </row>
    <row r="137">
      <c r="A137" s="40" t="n"/>
      <c r="B137" s="41" t="n"/>
      <c r="F137">
        <f>IF(E137="","",IFERROR(_xlfn.XLOOKUP(E137,Settings!$F$2:$F$36,Settings!$E$2:$E$36,""),""))</f>
        <v/>
      </c>
    </row>
    <row r="138">
      <c r="A138" s="40" t="n"/>
      <c r="B138" s="41" t="n"/>
      <c r="F138">
        <f>IF(E138="","",IFERROR(_xlfn.XLOOKUP(E138,Settings!$F$2:$F$36,Settings!$E$2:$E$36,""),""))</f>
        <v/>
      </c>
    </row>
    <row r="139">
      <c r="A139" s="40" t="n"/>
      <c r="B139" s="41" t="n"/>
      <c r="F139">
        <f>IF(E139="","",IFERROR(_xlfn.XLOOKUP(E139,Settings!$F$2:$F$36,Settings!$E$2:$E$36,""),""))</f>
        <v/>
      </c>
    </row>
    <row r="140">
      <c r="A140" s="40" t="n"/>
      <c r="B140" s="41" t="n"/>
      <c r="F140">
        <f>IF(E140="","",IFERROR(_xlfn.XLOOKUP(E140,Settings!$F$2:$F$36,Settings!$E$2:$E$36,""),""))</f>
        <v/>
      </c>
    </row>
    <row r="141">
      <c r="A141" s="40" t="n"/>
      <c r="B141" s="41" t="n"/>
      <c r="F141">
        <f>IF(E141="","",IFERROR(_xlfn.XLOOKUP(E141,Settings!$F$2:$F$36,Settings!$E$2:$E$36,""),""))</f>
        <v/>
      </c>
    </row>
    <row r="142">
      <c r="A142" s="40" t="n"/>
      <c r="B142" s="41" t="n"/>
      <c r="F142">
        <f>IF(E142="","",IFERROR(_xlfn.XLOOKUP(E142,Settings!$F$2:$F$36,Settings!$E$2:$E$36,""),""))</f>
        <v/>
      </c>
    </row>
    <row r="143">
      <c r="A143" s="40" t="n"/>
      <c r="B143" s="41" t="n"/>
      <c r="F143">
        <f>IF(E143="","",IFERROR(_xlfn.XLOOKUP(E143,Settings!$F$2:$F$36,Settings!$E$2:$E$36,""),""))</f>
        <v/>
      </c>
    </row>
    <row r="144">
      <c r="A144" s="40" t="n"/>
      <c r="B144" s="41" t="n"/>
      <c r="F144">
        <f>IF(E144="","",IFERROR(_xlfn.XLOOKUP(E144,Settings!$F$2:$F$36,Settings!$E$2:$E$36,""),""))</f>
        <v/>
      </c>
    </row>
    <row r="145">
      <c r="A145" s="40" t="n"/>
      <c r="B145" s="41" t="n"/>
      <c r="F145">
        <f>IF(E145="","",IFERROR(_xlfn.XLOOKUP(E145,Settings!$F$2:$F$36,Settings!$E$2:$E$36,""),""))</f>
        <v/>
      </c>
    </row>
    <row r="146">
      <c r="A146" s="40" t="n"/>
      <c r="B146" s="41" t="n"/>
      <c r="F146">
        <f>IF(E146="","",IFERROR(_xlfn.XLOOKUP(E146,Settings!$F$2:$F$36,Settings!$E$2:$E$36,""),""))</f>
        <v/>
      </c>
    </row>
    <row r="147">
      <c r="A147" s="40" t="n"/>
      <c r="B147" s="41" t="n"/>
      <c r="F147">
        <f>IF(E147="","",IFERROR(_xlfn.XLOOKUP(E147,Settings!$F$2:$F$36,Settings!$E$2:$E$36,""),""))</f>
        <v/>
      </c>
    </row>
    <row r="148">
      <c r="A148" s="40" t="n"/>
      <c r="B148" s="41" t="n"/>
      <c r="F148">
        <f>IF(E148="","",IFERROR(_xlfn.XLOOKUP(E148,Settings!$F$2:$F$36,Settings!$E$2:$E$36,""),""))</f>
        <v/>
      </c>
    </row>
    <row r="149">
      <c r="A149" s="40" t="n"/>
      <c r="B149" s="41" t="n"/>
      <c r="F149">
        <f>IF(E149="","",IFERROR(_xlfn.XLOOKUP(E149,Settings!$F$2:$F$36,Settings!$E$2:$E$36,""),""))</f>
        <v/>
      </c>
    </row>
    <row r="150">
      <c r="A150" s="40" t="n"/>
      <c r="B150" s="41" t="n"/>
      <c r="F150">
        <f>IF(E150="","",IFERROR(_xlfn.XLOOKUP(E150,Settings!$F$2:$F$36,Settings!$E$2:$E$36,""),""))</f>
        <v/>
      </c>
    </row>
    <row r="151">
      <c r="A151" s="40" t="n"/>
      <c r="B151" s="41" t="n"/>
      <c r="F151">
        <f>IF(E151="","",IFERROR(_xlfn.XLOOKUP(E151,Settings!$F$2:$F$36,Settings!$E$2:$E$36,""),""))</f>
        <v/>
      </c>
    </row>
    <row r="152">
      <c r="A152" s="40" t="n"/>
      <c r="B152" s="41" t="n"/>
      <c r="F152">
        <f>IF(E152="","",IFERROR(_xlfn.XLOOKUP(E152,Settings!$F$2:$F$36,Settings!$E$2:$E$36,""),""))</f>
        <v/>
      </c>
    </row>
    <row r="153">
      <c r="A153" s="40" t="n"/>
      <c r="B153" s="41" t="n"/>
      <c r="F153">
        <f>IF(E153="","",IFERROR(_xlfn.XLOOKUP(E153,Settings!$F$2:$F$36,Settings!$E$2:$E$36,""),""))</f>
        <v/>
      </c>
    </row>
    <row r="154">
      <c r="A154" s="40" t="n"/>
      <c r="B154" s="41" t="n"/>
      <c r="F154">
        <f>IF(E154="","",IFERROR(_xlfn.XLOOKUP(E154,Settings!$F$2:$F$36,Settings!$E$2:$E$36,""),""))</f>
        <v/>
      </c>
    </row>
    <row r="155">
      <c r="A155" s="40" t="n"/>
      <c r="B155" s="41" t="n"/>
      <c r="F155">
        <f>IF(E155="","",IFERROR(_xlfn.XLOOKUP(E155,Settings!$F$2:$F$36,Settings!$E$2:$E$36,""),""))</f>
        <v/>
      </c>
    </row>
    <row r="156">
      <c r="A156" s="40" t="n"/>
      <c r="B156" s="41" t="n"/>
      <c r="F156">
        <f>IF(E156="","",IFERROR(_xlfn.XLOOKUP(E156,Settings!$F$2:$F$36,Settings!$E$2:$E$36,""),""))</f>
        <v/>
      </c>
    </row>
    <row r="157">
      <c r="A157" s="40" t="n"/>
      <c r="B157" s="41" t="n"/>
      <c r="F157">
        <f>IF(E157="","",IFERROR(_xlfn.XLOOKUP(E157,Settings!$F$2:$F$36,Settings!$E$2:$E$36,""),""))</f>
        <v/>
      </c>
    </row>
    <row r="158">
      <c r="A158" s="40" t="n"/>
      <c r="B158" s="41" t="n"/>
      <c r="F158">
        <f>IF(E158="","",IFERROR(_xlfn.XLOOKUP(E158,Settings!$F$2:$F$36,Settings!$E$2:$E$36,""),""))</f>
        <v/>
      </c>
    </row>
    <row r="159">
      <c r="A159" s="40" t="n"/>
      <c r="B159" s="41" t="n"/>
      <c r="F159">
        <f>IF(E159="","",IFERROR(_xlfn.XLOOKUP(E159,Settings!$F$2:$F$36,Settings!$E$2:$E$36,""),""))</f>
        <v/>
      </c>
    </row>
    <row r="160">
      <c r="A160" s="40" t="n"/>
      <c r="B160" s="41" t="n"/>
      <c r="F160">
        <f>IF(E160="","",IFERROR(_xlfn.XLOOKUP(E160,Settings!$F$2:$F$36,Settings!$E$2:$E$36,""),""))</f>
        <v/>
      </c>
    </row>
    <row r="161">
      <c r="A161" s="40" t="n"/>
      <c r="B161" s="41" t="n"/>
      <c r="F161">
        <f>IF(E161="","",IFERROR(_xlfn.XLOOKUP(E161,Settings!$F$2:$F$36,Settings!$E$2:$E$36,""),""))</f>
        <v/>
      </c>
    </row>
    <row r="162">
      <c r="A162" s="40" t="n"/>
      <c r="B162" s="41" t="n"/>
      <c r="F162">
        <f>IF(E162="","",IFERROR(_xlfn.XLOOKUP(E162,Settings!$F$2:$F$36,Settings!$E$2:$E$36,""),""))</f>
        <v/>
      </c>
    </row>
    <row r="163">
      <c r="A163" s="40" t="n"/>
      <c r="B163" s="41" t="n"/>
      <c r="F163">
        <f>IF(E163="","",IFERROR(_xlfn.XLOOKUP(E163,Settings!$F$2:$F$36,Settings!$E$2:$E$36,""),""))</f>
        <v/>
      </c>
    </row>
    <row r="164">
      <c r="A164" s="40" t="n"/>
      <c r="B164" s="41" t="n"/>
      <c r="F164">
        <f>IF(E164="","",IFERROR(_xlfn.XLOOKUP(E164,Settings!$F$2:$F$36,Settings!$E$2:$E$36,""),""))</f>
        <v/>
      </c>
    </row>
    <row r="165">
      <c r="A165" s="40" t="n"/>
      <c r="B165" s="41" t="n"/>
      <c r="F165">
        <f>IF(E165="","",IFERROR(_xlfn.XLOOKUP(E165,Settings!$F$2:$F$36,Settings!$E$2:$E$36,""),""))</f>
        <v/>
      </c>
    </row>
    <row r="166">
      <c r="A166" s="40" t="n"/>
      <c r="B166" s="41" t="n"/>
      <c r="F166">
        <f>IF(E166="","",IFERROR(_xlfn.XLOOKUP(E166,Settings!$F$2:$F$36,Settings!$E$2:$E$36,""),""))</f>
        <v/>
      </c>
    </row>
    <row r="167">
      <c r="A167" s="40" t="n"/>
      <c r="B167" s="41" t="n"/>
      <c r="F167">
        <f>IF(E167="","",IFERROR(_xlfn.XLOOKUP(E167,Settings!$F$2:$F$36,Settings!$E$2:$E$36,""),""))</f>
        <v/>
      </c>
    </row>
    <row r="168">
      <c r="A168" s="40" t="n"/>
      <c r="B168" s="41" t="n"/>
      <c r="F168">
        <f>IF(E168="","",IFERROR(_xlfn.XLOOKUP(E168,Settings!$F$2:$F$36,Settings!$E$2:$E$36,""),""))</f>
        <v/>
      </c>
    </row>
    <row r="169">
      <c r="A169" s="40" t="n"/>
      <c r="B169" s="41" t="n"/>
      <c r="F169">
        <f>IF(E169="","",IFERROR(_xlfn.XLOOKUP(E169,Settings!$F$2:$F$36,Settings!$E$2:$E$36,""),""))</f>
        <v/>
      </c>
    </row>
    <row r="170">
      <c r="A170" s="40" t="n"/>
      <c r="B170" s="41" t="n"/>
      <c r="F170">
        <f>IF(E170="","",IFERROR(_xlfn.XLOOKUP(E170,Settings!$F$2:$F$36,Settings!$E$2:$E$36,""),""))</f>
        <v/>
      </c>
    </row>
    <row r="171">
      <c r="A171" s="40" t="n"/>
      <c r="B171" s="41" t="n"/>
      <c r="F171">
        <f>IF(E171="","",IFERROR(_xlfn.XLOOKUP(E171,Settings!$F$2:$F$36,Settings!$E$2:$E$36,""),""))</f>
        <v/>
      </c>
    </row>
    <row r="172">
      <c r="A172" s="40" t="n"/>
      <c r="B172" s="41" t="n"/>
      <c r="F172">
        <f>IF(E172="","",IFERROR(_xlfn.XLOOKUP(E172,Settings!$F$2:$F$36,Settings!$E$2:$E$36,""),""))</f>
        <v/>
      </c>
    </row>
    <row r="173">
      <c r="A173" s="40" t="n"/>
      <c r="B173" s="41" t="n"/>
      <c r="F173">
        <f>IF(E173="","",IFERROR(_xlfn.XLOOKUP(E173,Settings!$F$2:$F$36,Settings!$E$2:$E$36,""),""))</f>
        <v/>
      </c>
    </row>
    <row r="174">
      <c r="A174" s="40" t="n"/>
      <c r="B174" s="41" t="n"/>
      <c r="F174">
        <f>IF(E174="","",IFERROR(_xlfn.XLOOKUP(E174,Settings!$F$2:$F$36,Settings!$E$2:$E$36,""),""))</f>
        <v/>
      </c>
    </row>
    <row r="175">
      <c r="A175" s="40" t="n"/>
      <c r="B175" s="41" t="n"/>
      <c r="F175">
        <f>IF(E175="","",IFERROR(_xlfn.XLOOKUP(E175,Settings!$F$2:$F$36,Settings!$E$2:$E$36,""),""))</f>
        <v/>
      </c>
    </row>
    <row r="176">
      <c r="A176" s="40" t="n"/>
      <c r="B176" s="41" t="n"/>
      <c r="F176">
        <f>IF(E176="","",IFERROR(_xlfn.XLOOKUP(E176,Settings!$F$2:$F$36,Settings!$E$2:$E$36,""),""))</f>
        <v/>
      </c>
    </row>
    <row r="177">
      <c r="A177" s="40" t="n"/>
      <c r="B177" s="41" t="n"/>
      <c r="F177">
        <f>IF(E177="","",IFERROR(_xlfn.XLOOKUP(E177,Settings!$F$2:$F$36,Settings!$E$2:$E$36,""),""))</f>
        <v/>
      </c>
    </row>
    <row r="178">
      <c r="A178" s="40" t="n"/>
      <c r="B178" s="41" t="n"/>
      <c r="F178">
        <f>IF(E178="","",IFERROR(_xlfn.XLOOKUP(E178,Settings!$F$2:$F$36,Settings!$E$2:$E$36,""),""))</f>
        <v/>
      </c>
    </row>
    <row r="179">
      <c r="A179" s="40" t="n"/>
      <c r="B179" s="41" t="n"/>
      <c r="F179">
        <f>IF(E179="","",IFERROR(_xlfn.XLOOKUP(E179,Settings!$F$2:$F$36,Settings!$E$2:$E$36,""),""))</f>
        <v/>
      </c>
    </row>
    <row r="180">
      <c r="A180" s="40" t="n"/>
      <c r="B180" s="41" t="n"/>
      <c r="F180">
        <f>IF(E180="","",IFERROR(_xlfn.XLOOKUP(E180,Settings!$F$2:$F$36,Settings!$E$2:$E$36,""),""))</f>
        <v/>
      </c>
    </row>
    <row r="181">
      <c r="A181" s="40" t="n"/>
      <c r="B181" s="41" t="n"/>
      <c r="F181">
        <f>IF(E181="","",IFERROR(_xlfn.XLOOKUP(E181,Settings!$F$2:$F$36,Settings!$E$2:$E$36,""),""))</f>
        <v/>
      </c>
    </row>
    <row r="182">
      <c r="A182" s="40" t="n"/>
      <c r="B182" s="41" t="n"/>
      <c r="F182">
        <f>IF(E182="","",IFERROR(_xlfn.XLOOKUP(E182,Settings!$F$2:$F$36,Settings!$E$2:$E$36,""),""))</f>
        <v/>
      </c>
    </row>
    <row r="183">
      <c r="A183" s="40" t="n"/>
      <c r="B183" s="41" t="n"/>
      <c r="F183">
        <f>IF(E183="","",IFERROR(_xlfn.XLOOKUP(E183,Settings!$F$2:$F$36,Settings!$E$2:$E$36,""),""))</f>
        <v/>
      </c>
    </row>
    <row r="184">
      <c r="A184" s="40" t="n"/>
      <c r="B184" s="41" t="n"/>
      <c r="F184">
        <f>IF(E184="","",IFERROR(_xlfn.XLOOKUP(E184,Settings!$F$2:$F$36,Settings!$E$2:$E$36,""),""))</f>
        <v/>
      </c>
    </row>
    <row r="185">
      <c r="A185" s="40" t="n"/>
      <c r="B185" s="41" t="n"/>
      <c r="F185">
        <f>IF(E185="","",IFERROR(_xlfn.XLOOKUP(E185,Settings!$F$2:$F$36,Settings!$E$2:$E$36,""),""))</f>
        <v/>
      </c>
    </row>
    <row r="186">
      <c r="A186" s="40" t="n"/>
      <c r="B186" s="41" t="n"/>
      <c r="F186">
        <f>IF(E186="","",IFERROR(_xlfn.XLOOKUP(E186,Settings!$F$2:$F$36,Settings!$E$2:$E$36,""),""))</f>
        <v/>
      </c>
    </row>
    <row r="187">
      <c r="A187" s="40" t="n"/>
      <c r="B187" s="41" t="n"/>
      <c r="F187">
        <f>IF(E187="","",IFERROR(_xlfn.XLOOKUP(E187,Settings!$F$2:$F$36,Settings!$E$2:$E$36,""),""))</f>
        <v/>
      </c>
    </row>
    <row r="188">
      <c r="A188" s="40" t="n"/>
      <c r="B188" s="41" t="n"/>
      <c r="F188">
        <f>IF(E188="","",IFERROR(_xlfn.XLOOKUP(E188,Settings!$F$2:$F$36,Settings!$E$2:$E$36,""),""))</f>
        <v/>
      </c>
    </row>
    <row r="189">
      <c r="A189" s="40" t="n"/>
      <c r="B189" s="41" t="n"/>
      <c r="F189">
        <f>IF(E189="","",IFERROR(_xlfn.XLOOKUP(E189,Settings!$F$2:$F$36,Settings!$E$2:$E$36,""),""))</f>
        <v/>
      </c>
    </row>
    <row r="190">
      <c r="A190" s="40" t="n"/>
      <c r="B190" s="41" t="n"/>
      <c r="F190">
        <f>IF(E190="","",IFERROR(_xlfn.XLOOKUP(E190,Settings!$F$2:$F$36,Settings!$E$2:$E$36,""),""))</f>
        <v/>
      </c>
    </row>
    <row r="191">
      <c r="A191" s="40" t="n"/>
      <c r="B191" s="41" t="n"/>
      <c r="F191">
        <f>IF(E191="","",IFERROR(_xlfn.XLOOKUP(E191,Settings!$F$2:$F$36,Settings!$E$2:$E$36,""),""))</f>
        <v/>
      </c>
    </row>
    <row r="192">
      <c r="A192" s="40" t="n"/>
      <c r="B192" s="41" t="n"/>
      <c r="F192">
        <f>IF(E192="","",IFERROR(_xlfn.XLOOKUP(E192,Settings!$F$2:$F$36,Settings!$E$2:$E$36,""),""))</f>
        <v/>
      </c>
    </row>
    <row r="193">
      <c r="A193" s="40" t="n"/>
      <c r="B193" s="41" t="n"/>
      <c r="F193">
        <f>IF(E193="","",IFERROR(_xlfn.XLOOKUP(E193,Settings!$F$2:$F$36,Settings!$E$2:$E$36,""),""))</f>
        <v/>
      </c>
    </row>
    <row r="194">
      <c r="A194" s="40" t="n"/>
      <c r="B194" s="41" t="n"/>
      <c r="F194">
        <f>IF(E194="","",IFERROR(_xlfn.XLOOKUP(E194,Settings!$F$2:$F$36,Settings!$E$2:$E$36,""),""))</f>
        <v/>
      </c>
    </row>
    <row r="195">
      <c r="A195" s="40" t="n"/>
      <c r="B195" s="41" t="n"/>
      <c r="F195">
        <f>IF(E195="","",IFERROR(_xlfn.XLOOKUP(E195,Settings!$F$2:$F$36,Settings!$E$2:$E$36,""),""))</f>
        <v/>
      </c>
    </row>
    <row r="196">
      <c r="A196" s="40" t="n"/>
      <c r="B196" s="41" t="n"/>
      <c r="F196">
        <f>IF(E196="","",IFERROR(_xlfn.XLOOKUP(E196,Settings!$F$2:$F$36,Settings!$E$2:$E$36,""),""))</f>
        <v/>
      </c>
    </row>
    <row r="197">
      <c r="A197" s="40" t="n"/>
      <c r="B197" s="41" t="n"/>
      <c r="F197">
        <f>IF(E197="","",IFERROR(_xlfn.XLOOKUP(E197,Settings!$F$2:$F$36,Settings!$E$2:$E$36,""),""))</f>
        <v/>
      </c>
    </row>
    <row r="198">
      <c r="A198" s="40" t="n"/>
      <c r="B198" s="41" t="n"/>
      <c r="F198">
        <f>IF(E198="","",IFERROR(_xlfn.XLOOKUP(E198,Settings!$F$2:$F$36,Settings!$E$2:$E$36,""),""))</f>
        <v/>
      </c>
    </row>
    <row r="199">
      <c r="A199" s="40" t="n"/>
      <c r="B199" s="41" t="n"/>
      <c r="F199">
        <f>IF(E199="","",IFERROR(_xlfn.XLOOKUP(E199,Settings!$F$2:$F$36,Settings!$E$2:$E$36,""),""))</f>
        <v/>
      </c>
    </row>
    <row r="200">
      <c r="A200" s="40" t="n"/>
      <c r="B200" s="41" t="n"/>
      <c r="F200">
        <f>IF(E200="","",IFERROR(_xlfn.XLOOKUP(E200,Settings!$F$2:$F$36,Settings!$E$2:$E$36,""),""))</f>
        <v/>
      </c>
    </row>
    <row r="201">
      <c r="A201" s="40" t="n"/>
      <c r="B201" s="41" t="n"/>
      <c r="F201">
        <f>IF(E201="","",IFERROR(_xlfn.XLOOKUP(E201,Settings!$F$2:$F$36,Settings!$E$2:$E$36,""),""))</f>
        <v/>
      </c>
    </row>
    <row r="202">
      <c r="A202" s="40" t="n"/>
      <c r="B202" s="41" t="n"/>
      <c r="F202">
        <f>IF(E202="","",IFERROR(_xlfn.XLOOKUP(E202,Settings!$F$2:$F$36,Settings!$E$2:$E$36,""),""))</f>
        <v/>
      </c>
    </row>
    <row r="203">
      <c r="A203" s="40" t="n"/>
      <c r="B203" s="41" t="n"/>
      <c r="F203">
        <f>IF(E203="","",IFERROR(_xlfn.XLOOKUP(E203,Settings!$F$2:$F$36,Settings!$E$2:$E$36,""),""))</f>
        <v/>
      </c>
    </row>
    <row r="204">
      <c r="A204" s="40" t="n"/>
      <c r="B204" s="41" t="n"/>
      <c r="F204">
        <f>IF(E204="","",IFERROR(_xlfn.XLOOKUP(E204,Settings!$F$2:$F$36,Settings!$E$2:$E$36,""),""))</f>
        <v/>
      </c>
    </row>
    <row r="205">
      <c r="A205" s="40" t="n"/>
      <c r="B205" s="41" t="n"/>
      <c r="F205">
        <f>IF(E205="","",IFERROR(_xlfn.XLOOKUP(E205,Settings!$F$2:$F$36,Settings!$E$2:$E$36,""),""))</f>
        <v/>
      </c>
    </row>
    <row r="206">
      <c r="A206" s="40" t="n"/>
      <c r="B206" s="41" t="n"/>
      <c r="F206">
        <f>IF(E206="","",IFERROR(_xlfn.XLOOKUP(E206,Settings!$F$2:$F$36,Settings!$E$2:$E$36,""),""))</f>
        <v/>
      </c>
    </row>
    <row r="207">
      <c r="A207" s="40" t="n"/>
      <c r="B207" s="41" t="n"/>
      <c r="F207">
        <f>IF(E207="","",IFERROR(_xlfn.XLOOKUP(E207,Settings!$F$2:$F$36,Settings!$E$2:$E$36,""),""))</f>
        <v/>
      </c>
    </row>
    <row r="208">
      <c r="A208" s="40" t="n"/>
      <c r="B208" s="41" t="n"/>
      <c r="F208">
        <f>IF(E208="","",IFERROR(_xlfn.XLOOKUP(E208,Settings!$F$2:$F$36,Settings!$E$2:$E$36,""),""))</f>
        <v/>
      </c>
    </row>
    <row r="209">
      <c r="A209" s="40" t="n"/>
      <c r="B209" s="41" t="n"/>
      <c r="F209">
        <f>IF(E209="","",IFERROR(_xlfn.XLOOKUP(E209,Settings!$F$2:$F$36,Settings!$E$2:$E$36,""),""))</f>
        <v/>
      </c>
    </row>
    <row r="210">
      <c r="A210" s="40" t="n"/>
      <c r="B210" s="41" t="n"/>
      <c r="F210">
        <f>IF(E210="","",IFERROR(_xlfn.XLOOKUP(E210,Settings!$F$2:$F$36,Settings!$E$2:$E$36,""),""))</f>
        <v/>
      </c>
    </row>
    <row r="211">
      <c r="A211" s="40" t="n"/>
      <c r="B211" s="41" t="n"/>
      <c r="F211">
        <f>IF(E211="","",IFERROR(_xlfn.XLOOKUP(E211,Settings!$F$2:$F$36,Settings!$E$2:$E$36,""),""))</f>
        <v/>
      </c>
    </row>
    <row r="212">
      <c r="A212" s="40" t="n"/>
      <c r="B212" s="41" t="n"/>
      <c r="F212">
        <f>IF(E212="","",IFERROR(_xlfn.XLOOKUP(E212,Settings!$F$2:$F$36,Settings!$E$2:$E$36,""),""))</f>
        <v/>
      </c>
    </row>
    <row r="213">
      <c r="A213" s="40" t="n"/>
      <c r="B213" s="41" t="n"/>
      <c r="F213">
        <f>IF(E213="","",IFERROR(_xlfn.XLOOKUP(E213,Settings!$F$2:$F$36,Settings!$E$2:$E$36,""),""))</f>
        <v/>
      </c>
    </row>
    <row r="214">
      <c r="A214" s="40" t="n"/>
      <c r="B214" s="41" t="n"/>
      <c r="F214">
        <f>IF(E214="","",IFERROR(_xlfn.XLOOKUP(E214,Settings!$F$2:$F$36,Settings!$E$2:$E$36,""),""))</f>
        <v/>
      </c>
    </row>
    <row r="215">
      <c r="A215" s="40" t="n"/>
      <c r="B215" s="41" t="n"/>
      <c r="F215">
        <f>IF(E215="","",IFERROR(_xlfn.XLOOKUP(E215,Settings!$F$2:$F$36,Settings!$E$2:$E$36,""),""))</f>
        <v/>
      </c>
    </row>
    <row r="216">
      <c r="A216" s="40" t="n"/>
      <c r="B216" s="41" t="n"/>
      <c r="F216">
        <f>IF(E216="","",IFERROR(_xlfn.XLOOKUP(E216,Settings!$F$2:$F$36,Settings!$E$2:$E$36,""),""))</f>
        <v/>
      </c>
    </row>
    <row r="217">
      <c r="A217" s="40" t="n"/>
      <c r="B217" s="41" t="n"/>
      <c r="F217">
        <f>IF(E217="","",IFERROR(_xlfn.XLOOKUP(E217,Settings!$F$2:$F$36,Settings!$E$2:$E$36,""),""))</f>
        <v/>
      </c>
    </row>
    <row r="218">
      <c r="A218" s="40" t="n"/>
      <c r="B218" s="41" t="n"/>
      <c r="F218">
        <f>IF(E218="","",IFERROR(_xlfn.XLOOKUP(E218,Settings!$F$2:$F$36,Settings!$E$2:$E$36,""),""))</f>
        <v/>
      </c>
    </row>
    <row r="219">
      <c r="A219" s="40" t="n"/>
      <c r="B219" s="41" t="n"/>
      <c r="F219">
        <f>IF(E219="","",IFERROR(_xlfn.XLOOKUP(E219,Settings!$F$2:$F$36,Settings!$E$2:$E$36,""),""))</f>
        <v/>
      </c>
    </row>
    <row r="220">
      <c r="A220" s="40" t="n"/>
      <c r="B220" s="41" t="n"/>
      <c r="F220">
        <f>IF(E220="","",IFERROR(_xlfn.XLOOKUP(E220,Settings!$F$2:$F$36,Settings!$E$2:$E$36,""),""))</f>
        <v/>
      </c>
    </row>
    <row r="221">
      <c r="A221" s="40" t="n"/>
      <c r="B221" s="41" t="n"/>
      <c r="F221">
        <f>IF(E221="","",IFERROR(_xlfn.XLOOKUP(E221,Settings!$F$2:$F$36,Settings!$E$2:$E$36,""),""))</f>
        <v/>
      </c>
    </row>
    <row r="222">
      <c r="A222" s="40" t="n"/>
      <c r="B222" s="41" t="n"/>
      <c r="F222">
        <f>IF(E222="","",IFERROR(_xlfn.XLOOKUP(E222,Settings!$F$2:$F$36,Settings!$E$2:$E$36,""),""))</f>
        <v/>
      </c>
    </row>
    <row r="223">
      <c r="A223" s="40" t="n"/>
      <c r="B223" s="41" t="n"/>
      <c r="F223">
        <f>IF(E223="","",IFERROR(_xlfn.XLOOKUP(E223,Settings!$F$2:$F$36,Settings!$E$2:$E$36,""),""))</f>
        <v/>
      </c>
    </row>
    <row r="224">
      <c r="A224" s="40" t="n"/>
      <c r="B224" s="41" t="n"/>
      <c r="F224">
        <f>IF(E224="","",IFERROR(_xlfn.XLOOKUP(E224,Settings!$F$2:$F$36,Settings!$E$2:$E$36,""),""))</f>
        <v/>
      </c>
    </row>
    <row r="225">
      <c r="A225" s="40" t="n"/>
      <c r="B225" s="41" t="n"/>
      <c r="F225">
        <f>IF(E225="","",IFERROR(_xlfn.XLOOKUP(E225,Settings!$F$2:$F$36,Settings!$E$2:$E$36,""),""))</f>
        <v/>
      </c>
    </row>
    <row r="226">
      <c r="A226" s="40" t="n"/>
      <c r="B226" s="41" t="n"/>
      <c r="F226">
        <f>IF(E226="","",IFERROR(_xlfn.XLOOKUP(E226,Settings!$F$2:$F$36,Settings!$E$2:$E$36,""),""))</f>
        <v/>
      </c>
    </row>
    <row r="227">
      <c r="A227" s="40" t="n"/>
      <c r="B227" s="41" t="n"/>
      <c r="F227">
        <f>IF(E227="","",IFERROR(_xlfn.XLOOKUP(E227,Settings!$F$2:$F$36,Settings!$E$2:$E$36,""),""))</f>
        <v/>
      </c>
    </row>
    <row r="228">
      <c r="A228" s="40" t="n"/>
      <c r="B228" s="41" t="n"/>
      <c r="F228">
        <f>IF(E228="","",IFERROR(_xlfn.XLOOKUP(E228,Settings!$F$2:$F$36,Settings!$E$2:$E$36,""),""))</f>
        <v/>
      </c>
    </row>
    <row r="229">
      <c r="A229" s="40" t="n"/>
      <c r="B229" s="41" t="n"/>
      <c r="F229">
        <f>IF(E229="","",IFERROR(_xlfn.XLOOKUP(E229,Settings!$F$2:$F$36,Settings!$E$2:$E$36,""),""))</f>
        <v/>
      </c>
    </row>
    <row r="230">
      <c r="A230" s="40" t="n"/>
      <c r="B230" s="41" t="n"/>
      <c r="F230">
        <f>IF(E230="","",IFERROR(_xlfn.XLOOKUP(E230,Settings!$F$2:$F$36,Settings!$E$2:$E$36,""),""))</f>
        <v/>
      </c>
    </row>
    <row r="231">
      <c r="A231" s="40" t="n"/>
      <c r="B231" s="41" t="n"/>
      <c r="F231">
        <f>IF(E231="","",IFERROR(_xlfn.XLOOKUP(E231,Settings!$F$2:$F$36,Settings!$E$2:$E$36,""),""))</f>
        <v/>
      </c>
    </row>
    <row r="232">
      <c r="A232" s="40" t="n"/>
      <c r="B232" s="41" t="n"/>
      <c r="F232">
        <f>IF(E232="","",IFERROR(_xlfn.XLOOKUP(E232,Settings!$F$2:$F$36,Settings!$E$2:$E$36,""),""))</f>
        <v/>
      </c>
    </row>
    <row r="233">
      <c r="A233" s="40" t="n"/>
      <c r="B233" s="41" t="n"/>
      <c r="F233">
        <f>IF(E233="","",IFERROR(_xlfn.XLOOKUP(E233,Settings!$F$2:$F$36,Settings!$E$2:$E$36,""),""))</f>
        <v/>
      </c>
    </row>
    <row r="234">
      <c r="A234" s="40" t="n"/>
      <c r="B234" s="41" t="n"/>
      <c r="F234">
        <f>IF(E234="","",IFERROR(_xlfn.XLOOKUP(E234,Settings!$F$2:$F$36,Settings!$E$2:$E$36,""),""))</f>
        <v/>
      </c>
    </row>
    <row r="235">
      <c r="A235" s="40" t="n"/>
      <c r="B235" s="41" t="n"/>
      <c r="F235">
        <f>IF(E235="","",IFERROR(_xlfn.XLOOKUP(E235,Settings!$F$2:$F$36,Settings!$E$2:$E$36,""),""))</f>
        <v/>
      </c>
    </row>
    <row r="236">
      <c r="A236" s="40" t="n"/>
      <c r="B236" s="41" t="n"/>
      <c r="F236">
        <f>IF(E236="","",IFERROR(_xlfn.XLOOKUP(E236,Settings!$F$2:$F$36,Settings!$E$2:$E$36,""),""))</f>
        <v/>
      </c>
    </row>
    <row r="237">
      <c r="A237" s="40" t="n"/>
      <c r="B237" s="41" t="n"/>
      <c r="F237">
        <f>IF(E237="","",IFERROR(_xlfn.XLOOKUP(E237,Settings!$F$2:$F$36,Settings!$E$2:$E$36,""),""))</f>
        <v/>
      </c>
    </row>
    <row r="238">
      <c r="A238" s="40" t="n"/>
      <c r="B238" s="41" t="n"/>
      <c r="F238">
        <f>IF(E238="","",IFERROR(_xlfn.XLOOKUP(E238,Settings!$F$2:$F$36,Settings!$E$2:$E$36,""),""))</f>
        <v/>
      </c>
    </row>
    <row r="239">
      <c r="A239" s="40" t="n"/>
      <c r="B239" s="41" t="n"/>
      <c r="F239">
        <f>IF(E239="","",IFERROR(_xlfn.XLOOKUP(E239,Settings!$F$2:$F$36,Settings!$E$2:$E$36,""),""))</f>
        <v/>
      </c>
    </row>
    <row r="240">
      <c r="A240" s="40" t="n"/>
      <c r="B240" s="41" t="n"/>
      <c r="F240">
        <f>IF(E240="","",IFERROR(_xlfn.XLOOKUP(E240,Settings!$F$2:$F$36,Settings!$E$2:$E$36,""),""))</f>
        <v/>
      </c>
    </row>
    <row r="241">
      <c r="A241" s="40" t="n"/>
      <c r="B241" s="41" t="n"/>
      <c r="F241">
        <f>IF(E241="","",IFERROR(_xlfn.XLOOKUP(E241,Settings!$F$2:$F$36,Settings!$E$2:$E$36,""),""))</f>
        <v/>
      </c>
    </row>
    <row r="242">
      <c r="A242" s="40" t="n"/>
      <c r="B242" s="41" t="n"/>
      <c r="F242">
        <f>IF(E242="","",IFERROR(_xlfn.XLOOKUP(E242,Settings!$F$2:$F$36,Settings!$E$2:$E$36,""),""))</f>
        <v/>
      </c>
    </row>
    <row r="243">
      <c r="A243" s="40" t="n"/>
      <c r="B243" s="41" t="n"/>
      <c r="F243">
        <f>IF(E243="","",IFERROR(_xlfn.XLOOKUP(E243,Settings!$F$2:$F$36,Settings!$E$2:$E$36,""),""))</f>
        <v/>
      </c>
    </row>
    <row r="244">
      <c r="A244" s="40" t="n"/>
      <c r="B244" s="41" t="n"/>
      <c r="F244">
        <f>IF(E244="","",IFERROR(_xlfn.XLOOKUP(E244,Settings!$F$2:$F$36,Settings!$E$2:$E$36,""),""))</f>
        <v/>
      </c>
    </row>
    <row r="245">
      <c r="A245" s="40" t="n"/>
      <c r="B245" s="41" t="n"/>
      <c r="F245">
        <f>IF(E245="","",IFERROR(_xlfn.XLOOKUP(E245,Settings!$F$2:$F$36,Settings!$E$2:$E$36,""),""))</f>
        <v/>
      </c>
    </row>
    <row r="246">
      <c r="A246" s="40" t="n"/>
      <c r="B246" s="41" t="n"/>
      <c r="F246">
        <f>IF(E246="","",IFERROR(_xlfn.XLOOKUP(E246,Settings!$F$2:$F$36,Settings!$E$2:$E$36,""),""))</f>
        <v/>
      </c>
    </row>
    <row r="247">
      <c r="A247" s="40" t="n"/>
      <c r="B247" s="41" t="n"/>
      <c r="F247">
        <f>IF(E247="","",IFERROR(_xlfn.XLOOKUP(E247,Settings!$F$2:$F$36,Settings!$E$2:$E$36,""),""))</f>
        <v/>
      </c>
    </row>
    <row r="248">
      <c r="A248" s="40" t="n"/>
      <c r="B248" s="41" t="n"/>
      <c r="F248">
        <f>IF(E248="","",IFERROR(_xlfn.XLOOKUP(E248,Settings!$F$2:$F$36,Settings!$E$2:$E$36,""),""))</f>
        <v/>
      </c>
    </row>
    <row r="249">
      <c r="A249" s="40" t="n"/>
      <c r="B249" s="41" t="n"/>
      <c r="F249">
        <f>IF(E249="","",IFERROR(_xlfn.XLOOKUP(E249,Settings!$F$2:$F$36,Settings!$E$2:$E$36,""),""))</f>
        <v/>
      </c>
    </row>
    <row r="250">
      <c r="A250" s="40" t="n"/>
      <c r="B250" s="41" t="n"/>
      <c r="F250">
        <f>IF(E250="","",IFERROR(_xlfn.XLOOKUP(E250,Settings!$F$2:$F$36,Settings!$E$2:$E$36,""),""))</f>
        <v/>
      </c>
    </row>
    <row r="251">
      <c r="A251" s="40" t="n"/>
      <c r="B251" s="41" t="n"/>
      <c r="F251">
        <f>IF(E251="","",IFERROR(_xlfn.XLOOKUP(E251,Settings!$F$2:$F$36,Settings!$E$2:$E$36,""),""))</f>
        <v/>
      </c>
    </row>
    <row r="252">
      <c r="A252" s="40" t="n"/>
      <c r="B252" s="41" t="n"/>
      <c r="F252">
        <f>IF(E252="","",IFERROR(_xlfn.XLOOKUP(E252,Settings!$F$2:$F$36,Settings!$E$2:$E$36,""),""))</f>
        <v/>
      </c>
    </row>
    <row r="253">
      <c r="A253" s="40" t="n"/>
      <c r="B253" s="41" t="n"/>
      <c r="F253">
        <f>IF(E253="","",IFERROR(_xlfn.XLOOKUP(E253,Settings!$F$2:$F$36,Settings!$E$2:$E$36,""),""))</f>
        <v/>
      </c>
    </row>
    <row r="254">
      <c r="A254" s="40" t="n"/>
      <c r="B254" s="41" t="n"/>
      <c r="F254">
        <f>IF(E254="","",IFERROR(_xlfn.XLOOKUP(E254,Settings!$F$2:$F$36,Settings!$E$2:$E$36,""),""))</f>
        <v/>
      </c>
    </row>
    <row r="255">
      <c r="A255" s="40" t="n"/>
      <c r="B255" s="41" t="n"/>
      <c r="F255">
        <f>IF(E255="","",IFERROR(_xlfn.XLOOKUP(E255,Settings!$F$2:$F$36,Settings!$E$2:$E$36,""),""))</f>
        <v/>
      </c>
    </row>
    <row r="256">
      <c r="A256" s="40" t="n"/>
      <c r="B256" s="41" t="n"/>
      <c r="F256">
        <f>IF(E256="","",IFERROR(_xlfn.XLOOKUP(E256,Settings!$F$2:$F$36,Settings!$E$2:$E$36,""),""))</f>
        <v/>
      </c>
    </row>
    <row r="257">
      <c r="A257" s="40" t="n"/>
      <c r="B257" s="41" t="n"/>
      <c r="F257">
        <f>IF(E257="","",IFERROR(_xlfn.XLOOKUP(E257,Settings!$F$2:$F$36,Settings!$E$2:$E$36,""),""))</f>
        <v/>
      </c>
    </row>
    <row r="258">
      <c r="A258" s="40" t="n"/>
      <c r="B258" s="41" t="n"/>
      <c r="F258">
        <f>IF(E258="","",IFERROR(_xlfn.XLOOKUP(E258,Settings!$F$2:$F$36,Settings!$E$2:$E$36,""),""))</f>
        <v/>
      </c>
    </row>
    <row r="259">
      <c r="A259" s="40" t="n"/>
      <c r="B259" s="41" t="n"/>
      <c r="F259">
        <f>IF(E259="","",IFERROR(_xlfn.XLOOKUP(E259,Settings!$F$2:$F$36,Settings!$E$2:$E$36,""),""))</f>
        <v/>
      </c>
    </row>
    <row r="260">
      <c r="A260" s="40" t="n"/>
      <c r="B260" s="41" t="n"/>
      <c r="F260">
        <f>IF(E260="","",IFERROR(_xlfn.XLOOKUP(E260,Settings!$F$2:$F$36,Settings!$E$2:$E$36,""),""))</f>
        <v/>
      </c>
    </row>
    <row r="261">
      <c r="A261" s="40" t="n"/>
      <c r="B261" s="41" t="n"/>
      <c r="F261">
        <f>IF(E261="","",IFERROR(_xlfn.XLOOKUP(E261,Settings!$F$2:$F$36,Settings!$E$2:$E$36,""),""))</f>
        <v/>
      </c>
    </row>
    <row r="262">
      <c r="A262" s="40" t="n"/>
      <c r="B262" s="41" t="n"/>
      <c r="F262">
        <f>IF(E262="","",IFERROR(_xlfn.XLOOKUP(E262,Settings!$F$2:$F$36,Settings!$E$2:$E$36,""),""))</f>
        <v/>
      </c>
    </row>
    <row r="263">
      <c r="A263" s="40" t="n"/>
      <c r="B263" s="41" t="n"/>
      <c r="F263">
        <f>IF(E263="","",IFERROR(_xlfn.XLOOKUP(E263,Settings!$F$2:$F$36,Settings!$E$2:$E$36,""),""))</f>
        <v/>
      </c>
    </row>
    <row r="264">
      <c r="A264" s="40" t="n"/>
      <c r="B264" s="41" t="n"/>
      <c r="F264">
        <f>IF(E264="","",IFERROR(_xlfn.XLOOKUP(E264,Settings!$F$2:$F$36,Settings!$E$2:$E$36,""),""))</f>
        <v/>
      </c>
    </row>
    <row r="265">
      <c r="A265" s="40" t="n"/>
      <c r="B265" s="41" t="n"/>
      <c r="F265">
        <f>IF(E265="","",IFERROR(_xlfn.XLOOKUP(E265,Settings!$F$2:$F$36,Settings!$E$2:$E$36,""),""))</f>
        <v/>
      </c>
    </row>
    <row r="266">
      <c r="A266" s="40" t="n"/>
      <c r="B266" s="41" t="n"/>
      <c r="F266">
        <f>IF(E266="","",IFERROR(_xlfn.XLOOKUP(E266,Settings!$F$2:$F$36,Settings!$E$2:$E$36,""),""))</f>
        <v/>
      </c>
    </row>
    <row r="267">
      <c r="A267" s="40" t="n"/>
      <c r="B267" s="41" t="n"/>
      <c r="F267">
        <f>IF(E267="","",IFERROR(_xlfn.XLOOKUP(E267,Settings!$F$2:$F$36,Settings!$E$2:$E$36,""),""))</f>
        <v/>
      </c>
    </row>
    <row r="268">
      <c r="A268" s="40" t="n"/>
      <c r="B268" s="41" t="n"/>
      <c r="F268">
        <f>IF(E268="","",IFERROR(_xlfn.XLOOKUP(E268,Settings!$F$2:$F$36,Settings!$E$2:$E$36,""),""))</f>
        <v/>
      </c>
    </row>
    <row r="269">
      <c r="A269" s="40" t="n"/>
      <c r="B269" s="41" t="n"/>
      <c r="F269">
        <f>IF(E269="","",IFERROR(_xlfn.XLOOKUP(E269,Settings!$F$2:$F$36,Settings!$E$2:$E$36,""),""))</f>
        <v/>
      </c>
    </row>
    <row r="270">
      <c r="A270" s="40" t="n"/>
      <c r="B270" s="41" t="n"/>
      <c r="F270">
        <f>IF(E270="","",IFERROR(_xlfn.XLOOKUP(E270,Settings!$F$2:$F$36,Settings!$E$2:$E$36,""),""))</f>
        <v/>
      </c>
    </row>
    <row r="271">
      <c r="A271" s="40" t="n"/>
      <c r="B271" s="41" t="n"/>
      <c r="F271">
        <f>IF(E271="","",IFERROR(_xlfn.XLOOKUP(E271,Settings!$F$2:$F$36,Settings!$E$2:$E$36,""),""))</f>
        <v/>
      </c>
    </row>
    <row r="272">
      <c r="A272" s="40" t="n"/>
      <c r="B272" s="41" t="n"/>
      <c r="F272">
        <f>IF(E272="","",IFERROR(_xlfn.XLOOKUP(E272,Settings!$F$2:$F$36,Settings!$E$2:$E$36,""),""))</f>
        <v/>
      </c>
    </row>
    <row r="273">
      <c r="A273" s="40" t="n"/>
      <c r="B273" s="41" t="n"/>
      <c r="F273">
        <f>IF(E273="","",IFERROR(_xlfn.XLOOKUP(E273,Settings!$F$2:$F$36,Settings!$E$2:$E$36,""),""))</f>
        <v/>
      </c>
    </row>
    <row r="274">
      <c r="A274" s="40" t="n"/>
      <c r="B274" s="41" t="n"/>
      <c r="F274">
        <f>IF(E274="","",IFERROR(_xlfn.XLOOKUP(E274,Settings!$F$2:$F$36,Settings!$E$2:$E$36,""),""))</f>
        <v/>
      </c>
    </row>
    <row r="275">
      <c r="A275" s="40" t="n"/>
      <c r="B275" s="41" t="n"/>
      <c r="F275">
        <f>IF(E275="","",IFERROR(_xlfn.XLOOKUP(E275,Settings!$F$2:$F$36,Settings!$E$2:$E$36,""),""))</f>
        <v/>
      </c>
    </row>
    <row r="276">
      <c r="A276" s="40" t="n"/>
      <c r="B276" s="41" t="n"/>
      <c r="F276">
        <f>IF(E276="","",IFERROR(_xlfn.XLOOKUP(E276,Settings!$F$2:$F$36,Settings!$E$2:$E$36,""),""))</f>
        <v/>
      </c>
    </row>
    <row r="277">
      <c r="A277" s="40" t="n"/>
      <c r="B277" s="41" t="n"/>
      <c r="F277">
        <f>IF(E277="","",IFERROR(_xlfn.XLOOKUP(E277,Settings!$F$2:$F$36,Settings!$E$2:$E$36,""),""))</f>
        <v/>
      </c>
    </row>
    <row r="278">
      <c r="A278" s="40" t="n"/>
      <c r="B278" s="41" t="n"/>
      <c r="F278">
        <f>IF(E278="","",IFERROR(_xlfn.XLOOKUP(E278,Settings!$F$2:$F$36,Settings!$E$2:$E$36,""),""))</f>
        <v/>
      </c>
    </row>
    <row r="279">
      <c r="A279" s="40" t="n"/>
      <c r="B279" s="41" t="n"/>
      <c r="F279">
        <f>IF(E279="","",IFERROR(_xlfn.XLOOKUP(E279,Settings!$F$2:$F$36,Settings!$E$2:$E$36,""),""))</f>
        <v/>
      </c>
    </row>
    <row r="280">
      <c r="A280" s="40" t="n"/>
      <c r="B280" s="41" t="n"/>
      <c r="F280">
        <f>IF(E280="","",IFERROR(_xlfn.XLOOKUP(E280,Settings!$F$2:$F$36,Settings!$E$2:$E$36,""),""))</f>
        <v/>
      </c>
    </row>
    <row r="281">
      <c r="A281" s="40" t="n"/>
      <c r="B281" s="41" t="n"/>
      <c r="F281">
        <f>IF(E281="","",IFERROR(_xlfn.XLOOKUP(E281,Settings!$F$2:$F$36,Settings!$E$2:$E$36,""),""))</f>
        <v/>
      </c>
    </row>
    <row r="282">
      <c r="A282" s="40" t="n"/>
      <c r="B282" s="41" t="n"/>
      <c r="F282">
        <f>IF(E282="","",IFERROR(_xlfn.XLOOKUP(E282,Settings!$F$2:$F$36,Settings!$E$2:$E$36,""),""))</f>
        <v/>
      </c>
    </row>
    <row r="283">
      <c r="A283" s="40" t="n"/>
      <c r="B283" s="41" t="n"/>
      <c r="F283">
        <f>IF(E283="","",IFERROR(_xlfn.XLOOKUP(E283,Settings!$F$2:$F$36,Settings!$E$2:$E$36,""),""))</f>
        <v/>
      </c>
    </row>
    <row r="284">
      <c r="A284" s="40" t="n"/>
      <c r="B284" s="41" t="n"/>
      <c r="F284">
        <f>IF(E284="","",IFERROR(_xlfn.XLOOKUP(E284,Settings!$F$2:$F$36,Settings!$E$2:$E$36,""),""))</f>
        <v/>
      </c>
    </row>
    <row r="285">
      <c r="A285" s="40" t="n"/>
      <c r="B285" s="41" t="n"/>
      <c r="F285">
        <f>IF(E285="","",IFERROR(_xlfn.XLOOKUP(E285,Settings!$F$2:$F$36,Settings!$E$2:$E$36,""),""))</f>
        <v/>
      </c>
    </row>
    <row r="286">
      <c r="A286" s="40" t="n"/>
      <c r="B286" s="41" t="n"/>
      <c r="F286">
        <f>IF(E286="","",IFERROR(_xlfn.XLOOKUP(E286,Settings!$F$2:$F$36,Settings!$E$2:$E$36,""),""))</f>
        <v/>
      </c>
    </row>
    <row r="287">
      <c r="A287" s="40" t="n"/>
      <c r="B287" s="41" t="n"/>
      <c r="F287">
        <f>IF(E287="","",IFERROR(_xlfn.XLOOKUP(E287,Settings!$F$2:$F$36,Settings!$E$2:$E$36,""),""))</f>
        <v/>
      </c>
    </row>
    <row r="288">
      <c r="A288" s="40" t="n"/>
      <c r="B288" s="41" t="n"/>
      <c r="F288">
        <f>IF(E288="","",IFERROR(_xlfn.XLOOKUP(E288,Settings!$F$2:$F$36,Settings!$E$2:$E$36,""),""))</f>
        <v/>
      </c>
    </row>
    <row r="289">
      <c r="A289" s="40" t="n"/>
      <c r="B289" s="41" t="n"/>
      <c r="F289">
        <f>IF(E289="","",IFERROR(_xlfn.XLOOKUP(E289,Settings!$F$2:$F$36,Settings!$E$2:$E$36,""),""))</f>
        <v/>
      </c>
    </row>
    <row r="290">
      <c r="A290" s="40" t="n"/>
      <c r="B290" s="41" t="n"/>
      <c r="F290">
        <f>IF(E290="","",IFERROR(_xlfn.XLOOKUP(E290,Settings!$F$2:$F$36,Settings!$E$2:$E$36,""),""))</f>
        <v/>
      </c>
    </row>
    <row r="291">
      <c r="A291" s="40" t="n"/>
      <c r="B291" s="41" t="n"/>
      <c r="F291">
        <f>IF(E291="","",IFERROR(_xlfn.XLOOKUP(E291,Settings!$F$2:$F$36,Settings!$E$2:$E$36,""),""))</f>
        <v/>
      </c>
    </row>
    <row r="292">
      <c r="A292" s="40" t="n"/>
      <c r="B292" s="41" t="n"/>
      <c r="F292">
        <f>IF(E292="","",IFERROR(_xlfn.XLOOKUP(E292,Settings!$F$2:$F$36,Settings!$E$2:$E$36,""),""))</f>
        <v/>
      </c>
    </row>
    <row r="293">
      <c r="A293" s="40" t="n"/>
      <c r="B293" s="41" t="n"/>
      <c r="F293">
        <f>IF(E293="","",IFERROR(_xlfn.XLOOKUP(E293,Settings!$F$2:$F$36,Settings!$E$2:$E$36,""),""))</f>
        <v/>
      </c>
    </row>
    <row r="294">
      <c r="A294" s="40" t="n"/>
      <c r="B294" s="41" t="n"/>
      <c r="F294">
        <f>IF(E294="","",IFERROR(_xlfn.XLOOKUP(E294,Settings!$F$2:$F$36,Settings!$E$2:$E$36,""),""))</f>
        <v/>
      </c>
    </row>
    <row r="295">
      <c r="A295" s="40" t="n"/>
      <c r="B295" s="41" t="n"/>
      <c r="F295">
        <f>IF(E295="","",IFERROR(_xlfn.XLOOKUP(E295,Settings!$F$2:$F$36,Settings!$E$2:$E$36,""),""))</f>
        <v/>
      </c>
    </row>
    <row r="296">
      <c r="A296" s="40" t="n"/>
      <c r="B296" s="41" t="n"/>
      <c r="F296">
        <f>IF(E296="","",IFERROR(_xlfn.XLOOKUP(E296,Settings!$F$2:$F$36,Settings!$E$2:$E$36,""),""))</f>
        <v/>
      </c>
    </row>
    <row r="297">
      <c r="A297" s="40" t="n"/>
      <c r="B297" s="41" t="n"/>
      <c r="F297">
        <f>IF(E297="","",IFERROR(_xlfn.XLOOKUP(E297,Settings!$F$2:$F$36,Settings!$E$2:$E$36,""),""))</f>
        <v/>
      </c>
    </row>
    <row r="298">
      <c r="A298" s="40" t="n"/>
      <c r="B298" s="41" t="n"/>
      <c r="F298">
        <f>IF(E298="","",IFERROR(_xlfn.XLOOKUP(E298,Settings!$F$2:$F$36,Settings!$E$2:$E$36,""),""))</f>
        <v/>
      </c>
    </row>
    <row r="299">
      <c r="A299" s="40" t="n"/>
      <c r="B299" s="41" t="n"/>
      <c r="F299">
        <f>IF(E299="","",IFERROR(_xlfn.XLOOKUP(E299,Settings!$F$2:$F$36,Settings!$E$2:$E$36,""),""))</f>
        <v/>
      </c>
    </row>
    <row r="300">
      <c r="A300" s="40" t="n"/>
      <c r="B300" s="41" t="n"/>
      <c r="F300">
        <f>IF(E300="","",IFERROR(_xlfn.XLOOKUP(E300,Settings!$F$2:$F$36,Settings!$E$2:$E$36,""),""))</f>
        <v/>
      </c>
    </row>
    <row r="301">
      <c r="A301" s="40" t="n"/>
      <c r="B301" s="41" t="n"/>
      <c r="F301">
        <f>IF(E301="","",IFERROR(_xlfn.XLOOKUP(E301,Settings!$F$2:$F$36,Settings!$E$2:$E$36,""),""))</f>
        <v/>
      </c>
    </row>
    <row r="302">
      <c r="A302" s="40" t="n"/>
      <c r="B302" s="41" t="n"/>
      <c r="F302">
        <f>IF(E302="","",IFERROR(_xlfn.XLOOKUP(E302,Settings!$F$2:$F$36,Settings!$E$2:$E$36,""),""))</f>
        <v/>
      </c>
    </row>
    <row r="303">
      <c r="A303" s="40" t="n"/>
      <c r="B303" s="41" t="n"/>
      <c r="F303">
        <f>IF(E303="","",IFERROR(_xlfn.XLOOKUP(E303,Settings!$F$2:$F$36,Settings!$E$2:$E$36,""),""))</f>
        <v/>
      </c>
    </row>
    <row r="304">
      <c r="A304" s="40" t="n"/>
      <c r="B304" s="41" t="n"/>
      <c r="F304">
        <f>IF(E304="","",IFERROR(_xlfn.XLOOKUP(E304,Settings!$F$2:$F$36,Settings!$E$2:$E$36,""),""))</f>
        <v/>
      </c>
    </row>
    <row r="305">
      <c r="A305" s="40" t="n"/>
      <c r="B305" s="41" t="n"/>
      <c r="F305">
        <f>IF(E305="","",IFERROR(_xlfn.XLOOKUP(E305,Settings!$F$2:$F$36,Settings!$E$2:$E$36,""),""))</f>
        <v/>
      </c>
    </row>
    <row r="306">
      <c r="A306" s="40" t="n"/>
      <c r="B306" s="41" t="n"/>
      <c r="F306">
        <f>IF(E306="","",IFERROR(_xlfn.XLOOKUP(E306,Settings!$F$2:$F$36,Settings!$E$2:$E$36,""),""))</f>
        <v/>
      </c>
    </row>
    <row r="307">
      <c r="A307" s="40" t="n"/>
      <c r="B307" s="41" t="n"/>
      <c r="F307">
        <f>IF(E307="","",IFERROR(_xlfn.XLOOKUP(E307,Settings!$F$2:$F$36,Settings!$E$2:$E$36,""),""))</f>
        <v/>
      </c>
    </row>
    <row r="308">
      <c r="A308" s="40" t="n"/>
      <c r="B308" s="41" t="n"/>
      <c r="F308">
        <f>IF(E308="","",IFERROR(_xlfn.XLOOKUP(E308,Settings!$F$2:$F$36,Settings!$E$2:$E$36,""),""))</f>
        <v/>
      </c>
    </row>
    <row r="309">
      <c r="A309" s="40" t="n"/>
      <c r="B309" s="41" t="n"/>
      <c r="F309">
        <f>IF(E309="","",IFERROR(_xlfn.XLOOKUP(E309,Settings!$F$2:$F$36,Settings!$E$2:$E$36,""),""))</f>
        <v/>
      </c>
    </row>
    <row r="310">
      <c r="A310" s="40" t="n"/>
      <c r="B310" s="41" t="n"/>
      <c r="F310">
        <f>IF(E310="","",IFERROR(_xlfn.XLOOKUP(E310,Settings!$F$2:$F$36,Settings!$E$2:$E$36,""),""))</f>
        <v/>
      </c>
    </row>
    <row r="311">
      <c r="A311" s="40" t="n"/>
      <c r="B311" s="41" t="n"/>
      <c r="F311">
        <f>IF(E311="","",IFERROR(_xlfn.XLOOKUP(E311,Settings!$F$2:$F$36,Settings!$E$2:$E$36,""),""))</f>
        <v/>
      </c>
    </row>
    <row r="312">
      <c r="A312" s="40" t="n"/>
      <c r="B312" s="41" t="n"/>
      <c r="F312">
        <f>IF(E312="","",IFERROR(_xlfn.XLOOKUP(E312,Settings!$F$2:$F$36,Settings!$E$2:$E$36,""),""))</f>
        <v/>
      </c>
    </row>
    <row r="313">
      <c r="A313" s="40" t="n"/>
      <c r="B313" s="41" t="n"/>
      <c r="F313">
        <f>IF(E313="","",IFERROR(_xlfn.XLOOKUP(E313,Settings!$F$2:$F$36,Settings!$E$2:$E$36,""),""))</f>
        <v/>
      </c>
    </row>
    <row r="314">
      <c r="A314" s="40" t="n"/>
      <c r="B314" s="41" t="n"/>
      <c r="F314">
        <f>IF(E314="","",IFERROR(_xlfn.XLOOKUP(E314,Settings!$F$2:$F$36,Settings!$E$2:$E$36,""),""))</f>
        <v/>
      </c>
    </row>
    <row r="315">
      <c r="A315" s="40" t="n"/>
      <c r="B315" s="41" t="n"/>
      <c r="F315">
        <f>IF(E315="","",IFERROR(_xlfn.XLOOKUP(E315,Settings!$F$2:$F$36,Settings!$E$2:$E$36,""),""))</f>
        <v/>
      </c>
    </row>
    <row r="316">
      <c r="A316" s="40" t="n"/>
      <c r="B316" s="41" t="n"/>
      <c r="F316">
        <f>IF(E316="","",IFERROR(_xlfn.XLOOKUP(E316,Settings!$F$2:$F$36,Settings!$E$2:$E$36,""),""))</f>
        <v/>
      </c>
    </row>
    <row r="317">
      <c r="A317" s="40" t="n"/>
      <c r="B317" s="41" t="n"/>
      <c r="F317">
        <f>IF(E317="","",IFERROR(_xlfn.XLOOKUP(E317,Settings!$F$2:$F$36,Settings!$E$2:$E$36,""),""))</f>
        <v/>
      </c>
    </row>
    <row r="318">
      <c r="A318" s="40" t="n"/>
      <c r="B318" s="41" t="n"/>
      <c r="F318">
        <f>IF(E318="","",IFERROR(_xlfn.XLOOKUP(E318,Settings!$F$2:$F$36,Settings!$E$2:$E$36,""),""))</f>
        <v/>
      </c>
    </row>
    <row r="319">
      <c r="A319" s="40" t="n"/>
      <c r="B319" s="41" t="n"/>
      <c r="F319">
        <f>IF(E319="","",IFERROR(_xlfn.XLOOKUP(E319,Settings!$F$2:$F$36,Settings!$E$2:$E$36,""),""))</f>
        <v/>
      </c>
    </row>
    <row r="320">
      <c r="A320" s="40" t="n"/>
      <c r="B320" s="41" t="n"/>
      <c r="F320">
        <f>IF(E320="","",IFERROR(_xlfn.XLOOKUP(E320,Settings!$F$2:$F$36,Settings!$E$2:$E$36,""),""))</f>
        <v/>
      </c>
    </row>
    <row r="321">
      <c r="A321" s="40" t="n"/>
      <c r="B321" s="41" t="n"/>
      <c r="F321">
        <f>IF(E321="","",IFERROR(_xlfn.XLOOKUP(E321,Settings!$F$2:$F$36,Settings!$E$2:$E$36,""),""))</f>
        <v/>
      </c>
    </row>
    <row r="322">
      <c r="A322" s="40" t="n"/>
      <c r="B322" s="41" t="n"/>
      <c r="F322">
        <f>IF(E322="","",IFERROR(_xlfn.XLOOKUP(E322,Settings!$F$2:$F$36,Settings!$E$2:$E$36,""),""))</f>
        <v/>
      </c>
    </row>
    <row r="323">
      <c r="A323" s="40" t="n"/>
      <c r="B323" s="41" t="n"/>
      <c r="F323">
        <f>IF(E323="","",IFERROR(_xlfn.XLOOKUP(E323,Settings!$F$2:$F$36,Settings!$E$2:$E$36,""),""))</f>
        <v/>
      </c>
    </row>
    <row r="324">
      <c r="A324" s="40" t="n"/>
      <c r="B324" s="41" t="n"/>
      <c r="F324">
        <f>IF(E324="","",IFERROR(_xlfn.XLOOKUP(E324,Settings!$F$2:$F$36,Settings!$E$2:$E$36,""),""))</f>
        <v/>
      </c>
    </row>
    <row r="325">
      <c r="A325" s="40" t="n"/>
      <c r="B325" s="41" t="n"/>
      <c r="F325">
        <f>IF(E325="","",IFERROR(_xlfn.XLOOKUP(E325,Settings!$F$2:$F$36,Settings!$E$2:$E$36,""),""))</f>
        <v/>
      </c>
    </row>
    <row r="326">
      <c r="A326" s="40" t="n"/>
      <c r="B326" s="41" t="n"/>
      <c r="F326">
        <f>IF(E326="","",IFERROR(_xlfn.XLOOKUP(E326,Settings!$F$2:$F$36,Settings!$E$2:$E$36,""),""))</f>
        <v/>
      </c>
    </row>
    <row r="327">
      <c r="A327" s="40" t="n"/>
      <c r="B327" s="41" t="n"/>
      <c r="F327">
        <f>IF(E327="","",IFERROR(_xlfn.XLOOKUP(E327,Settings!$F$2:$F$36,Settings!$E$2:$E$36,""),""))</f>
        <v/>
      </c>
    </row>
    <row r="328">
      <c r="A328" s="40" t="n"/>
      <c r="B328" s="41" t="n"/>
      <c r="F328">
        <f>IF(E328="","",IFERROR(_xlfn.XLOOKUP(E328,Settings!$F$2:$F$36,Settings!$E$2:$E$36,""),""))</f>
        <v/>
      </c>
    </row>
    <row r="329">
      <c r="A329" s="40" t="n"/>
      <c r="B329" s="41" t="n"/>
      <c r="F329">
        <f>IF(E329="","",IFERROR(_xlfn.XLOOKUP(E329,Settings!$F$2:$F$36,Settings!$E$2:$E$36,""),""))</f>
        <v/>
      </c>
    </row>
    <row r="330">
      <c r="A330" s="40" t="n"/>
      <c r="B330" s="41" t="n"/>
      <c r="F330">
        <f>IF(E330="","",IFERROR(_xlfn.XLOOKUP(E330,Settings!$F$2:$F$36,Settings!$E$2:$E$36,""),""))</f>
        <v/>
      </c>
    </row>
    <row r="331">
      <c r="A331" s="40" t="n"/>
      <c r="B331" s="41" t="n"/>
      <c r="F331">
        <f>IF(E331="","",IFERROR(_xlfn.XLOOKUP(E331,Settings!$F$2:$F$36,Settings!$E$2:$E$36,""),""))</f>
        <v/>
      </c>
    </row>
    <row r="332">
      <c r="A332" s="40" t="n"/>
      <c r="B332" s="41" t="n"/>
      <c r="F332">
        <f>IF(E332="","",IFERROR(_xlfn.XLOOKUP(E332,Settings!$F$2:$F$36,Settings!$E$2:$E$36,""),""))</f>
        <v/>
      </c>
    </row>
    <row r="333">
      <c r="A333" s="40" t="n"/>
      <c r="B333" s="41" t="n"/>
      <c r="F333">
        <f>IF(E333="","",IFERROR(_xlfn.XLOOKUP(E333,Settings!$F$2:$F$36,Settings!$E$2:$E$36,""),""))</f>
        <v/>
      </c>
    </row>
    <row r="334">
      <c r="A334" s="40" t="n"/>
      <c r="B334" s="41" t="n"/>
      <c r="F334">
        <f>IF(E334="","",IFERROR(_xlfn.XLOOKUP(E334,Settings!$F$2:$F$36,Settings!$E$2:$E$36,""),""))</f>
        <v/>
      </c>
    </row>
    <row r="335">
      <c r="A335" s="40" t="n"/>
      <c r="B335" s="41" t="n"/>
      <c r="F335">
        <f>IF(E335="","",IFERROR(_xlfn.XLOOKUP(E335,Settings!$F$2:$F$36,Settings!$E$2:$E$36,""),""))</f>
        <v/>
      </c>
    </row>
    <row r="336">
      <c r="A336" s="40" t="n"/>
      <c r="B336" s="41" t="n"/>
      <c r="F336">
        <f>IF(E336="","",IFERROR(_xlfn.XLOOKUP(E336,Settings!$F$2:$F$36,Settings!$E$2:$E$36,""),""))</f>
        <v/>
      </c>
    </row>
    <row r="337">
      <c r="A337" s="40" t="n"/>
      <c r="B337" s="41" t="n"/>
      <c r="F337">
        <f>IF(E337="","",IFERROR(_xlfn.XLOOKUP(E337,Settings!$F$2:$F$36,Settings!$E$2:$E$36,""),""))</f>
        <v/>
      </c>
    </row>
    <row r="338">
      <c r="A338" s="40" t="n"/>
      <c r="B338" s="41" t="n"/>
      <c r="F338">
        <f>IF(E338="","",IFERROR(_xlfn.XLOOKUP(E338,Settings!$F$2:$F$36,Settings!$E$2:$E$36,""),""))</f>
        <v/>
      </c>
    </row>
    <row r="339">
      <c r="A339" s="40" t="n"/>
      <c r="B339" s="41" t="n"/>
      <c r="F339">
        <f>IF(E339="","",IFERROR(_xlfn.XLOOKUP(E339,Settings!$F$2:$F$36,Settings!$E$2:$E$36,""),""))</f>
        <v/>
      </c>
    </row>
    <row r="340">
      <c r="A340" s="40" t="n"/>
      <c r="B340" s="41" t="n"/>
      <c r="F340">
        <f>IF(E340="","",IFERROR(_xlfn.XLOOKUP(E340,Settings!$F$2:$F$36,Settings!$E$2:$E$36,""),""))</f>
        <v/>
      </c>
    </row>
    <row r="341">
      <c r="A341" s="40" t="n"/>
      <c r="B341" s="41" t="n"/>
      <c r="F341">
        <f>IF(E341="","",IFERROR(_xlfn.XLOOKUP(E341,Settings!$F$2:$F$36,Settings!$E$2:$E$36,""),""))</f>
        <v/>
      </c>
    </row>
    <row r="342">
      <c r="A342" s="40" t="n"/>
      <c r="B342" s="41" t="n"/>
      <c r="F342">
        <f>IF(E342="","",IFERROR(_xlfn.XLOOKUP(E342,Settings!$F$2:$F$36,Settings!$E$2:$E$36,""),""))</f>
        <v/>
      </c>
    </row>
    <row r="343">
      <c r="A343" s="40" t="n"/>
      <c r="B343" s="41" t="n"/>
      <c r="F343">
        <f>IF(E343="","",IFERROR(_xlfn.XLOOKUP(E343,Settings!$F$2:$F$36,Settings!$E$2:$E$36,""),""))</f>
        <v/>
      </c>
    </row>
    <row r="344">
      <c r="A344" s="40" t="n"/>
      <c r="B344" s="41" t="n"/>
      <c r="F344">
        <f>IF(E344="","",IFERROR(_xlfn.XLOOKUP(E344,Settings!$F$2:$F$36,Settings!$E$2:$E$36,""),""))</f>
        <v/>
      </c>
    </row>
    <row r="345">
      <c r="A345" s="40" t="n"/>
      <c r="B345" s="41" t="n"/>
      <c r="F345">
        <f>IF(E345="","",IFERROR(_xlfn.XLOOKUP(E345,Settings!$F$2:$F$36,Settings!$E$2:$E$36,""),""))</f>
        <v/>
      </c>
    </row>
    <row r="346">
      <c r="A346" s="40" t="n"/>
      <c r="B346" s="41" t="n"/>
      <c r="F346">
        <f>IF(E346="","",IFERROR(_xlfn.XLOOKUP(E346,Settings!$F$2:$F$36,Settings!$E$2:$E$36,""),""))</f>
        <v/>
      </c>
    </row>
    <row r="347">
      <c r="A347" s="40" t="n"/>
      <c r="B347" s="41" t="n"/>
      <c r="F347">
        <f>IF(E347="","",IFERROR(_xlfn.XLOOKUP(E347,Settings!$F$2:$F$36,Settings!$E$2:$E$36,""),""))</f>
        <v/>
      </c>
    </row>
    <row r="348">
      <c r="A348" s="40" t="n"/>
      <c r="B348" s="41" t="n"/>
      <c r="F348">
        <f>IF(E348="","",IFERROR(_xlfn.XLOOKUP(E348,Settings!$F$2:$F$36,Settings!$E$2:$E$36,""),""))</f>
        <v/>
      </c>
    </row>
    <row r="349">
      <c r="A349" s="40" t="n"/>
      <c r="B349" s="41" t="n"/>
      <c r="F349">
        <f>IF(E349="","",IFERROR(_xlfn.XLOOKUP(E349,Settings!$F$2:$F$36,Settings!$E$2:$E$36,""),""))</f>
        <v/>
      </c>
    </row>
    <row r="350">
      <c r="A350" s="40" t="n"/>
      <c r="B350" s="41" t="n"/>
      <c r="F350">
        <f>IF(E350="","",IFERROR(_xlfn.XLOOKUP(E350,Settings!$F$2:$F$36,Settings!$E$2:$E$36,""),""))</f>
        <v/>
      </c>
    </row>
    <row r="351">
      <c r="A351" s="40" t="n"/>
      <c r="B351" s="41" t="n"/>
      <c r="F351">
        <f>IF(E351="","",IFERROR(_xlfn.XLOOKUP(E351,Settings!$F$2:$F$36,Settings!$E$2:$E$36,""),""))</f>
        <v/>
      </c>
    </row>
    <row r="352">
      <c r="A352" s="40" t="n"/>
      <c r="B352" s="41" t="n"/>
      <c r="F352">
        <f>IF(E352="","",IFERROR(_xlfn.XLOOKUP(E352,Settings!$F$2:$F$36,Settings!$E$2:$E$36,""),""))</f>
        <v/>
      </c>
    </row>
    <row r="353">
      <c r="A353" s="40" t="n"/>
      <c r="B353" s="41" t="n"/>
      <c r="F353">
        <f>IF(E353="","",IFERROR(_xlfn.XLOOKUP(E353,Settings!$F$2:$F$36,Settings!$E$2:$E$36,""),""))</f>
        <v/>
      </c>
    </row>
    <row r="354">
      <c r="A354" s="40" t="n"/>
      <c r="B354" s="41" t="n"/>
      <c r="F354">
        <f>IF(E354="","",IFERROR(_xlfn.XLOOKUP(E354,Settings!$F$2:$F$36,Settings!$E$2:$E$36,""),""))</f>
        <v/>
      </c>
    </row>
    <row r="355">
      <c r="A355" s="40" t="n"/>
      <c r="B355" s="41" t="n"/>
      <c r="F355">
        <f>IF(E355="","",IFERROR(_xlfn.XLOOKUP(E355,Settings!$F$2:$F$36,Settings!$E$2:$E$36,""),""))</f>
        <v/>
      </c>
    </row>
    <row r="356">
      <c r="A356" s="40" t="n"/>
      <c r="B356" s="41" t="n"/>
      <c r="F356">
        <f>IF(E356="","",IFERROR(_xlfn.XLOOKUP(E356,Settings!$F$2:$F$36,Settings!$E$2:$E$36,""),""))</f>
        <v/>
      </c>
    </row>
    <row r="357">
      <c r="A357" s="40" t="n"/>
      <c r="B357" s="41" t="n"/>
      <c r="F357">
        <f>IF(E357="","",IFERROR(_xlfn.XLOOKUP(E357,Settings!$F$2:$F$36,Settings!$E$2:$E$36,""),""))</f>
        <v/>
      </c>
    </row>
    <row r="358">
      <c r="A358" s="40" t="n"/>
      <c r="B358" s="41" t="n"/>
      <c r="F358">
        <f>IF(E358="","",IFERROR(_xlfn.XLOOKUP(E358,Settings!$F$2:$F$36,Settings!$E$2:$E$36,""),""))</f>
        <v/>
      </c>
    </row>
    <row r="359">
      <c r="A359" s="40" t="n"/>
      <c r="B359" s="41" t="n"/>
      <c r="F359">
        <f>IF(E359="","",IFERROR(_xlfn.XLOOKUP(E359,Settings!$F$2:$F$36,Settings!$E$2:$E$36,""),""))</f>
        <v/>
      </c>
    </row>
    <row r="360">
      <c r="A360" s="40" t="n"/>
      <c r="B360" s="41" t="n"/>
      <c r="F360">
        <f>IF(E360="","",IFERROR(_xlfn.XLOOKUP(E360,Settings!$F$2:$F$36,Settings!$E$2:$E$36,""),""))</f>
        <v/>
      </c>
    </row>
    <row r="361">
      <c r="A361" s="40" t="n"/>
      <c r="B361" s="41" t="n"/>
      <c r="F361">
        <f>IF(E361="","",IFERROR(_xlfn.XLOOKUP(E361,Settings!$F$2:$F$36,Settings!$E$2:$E$36,""),""))</f>
        <v/>
      </c>
    </row>
    <row r="362">
      <c r="A362" s="40" t="n"/>
      <c r="B362" s="41" t="n"/>
      <c r="F362">
        <f>IF(E362="","",IFERROR(_xlfn.XLOOKUP(E362,Settings!$F$2:$F$36,Settings!$E$2:$E$36,""),""))</f>
        <v/>
      </c>
    </row>
    <row r="363">
      <c r="A363" s="40" t="n"/>
      <c r="B363" s="41" t="n"/>
      <c r="F363">
        <f>IF(E363="","",IFERROR(_xlfn.XLOOKUP(E363,Settings!$F$2:$F$36,Settings!$E$2:$E$36,""),""))</f>
        <v/>
      </c>
    </row>
    <row r="364">
      <c r="A364" s="40" t="n"/>
      <c r="B364" s="41" t="n"/>
      <c r="F364">
        <f>IF(E364="","",IFERROR(_xlfn.XLOOKUP(E364,Settings!$F$2:$F$36,Settings!$E$2:$E$36,""),""))</f>
        <v/>
      </c>
    </row>
    <row r="365">
      <c r="A365" s="40" t="n"/>
      <c r="B365" s="41" t="n"/>
      <c r="F365">
        <f>IF(E365="","",IFERROR(_xlfn.XLOOKUP(E365,Settings!$F$2:$F$36,Settings!$E$2:$E$36,""),""))</f>
        <v/>
      </c>
    </row>
    <row r="366">
      <c r="A366" s="40" t="n"/>
      <c r="B366" s="41" t="n"/>
      <c r="F366">
        <f>IF(E366="","",IFERROR(_xlfn.XLOOKUP(E366,Settings!$F$2:$F$36,Settings!$E$2:$E$36,""),""))</f>
        <v/>
      </c>
    </row>
    <row r="367">
      <c r="A367" s="40" t="n"/>
      <c r="B367" s="41" t="n"/>
      <c r="F367">
        <f>IF(E367="","",IFERROR(_xlfn.XLOOKUP(E367,Settings!$F$2:$F$36,Settings!$E$2:$E$36,""),""))</f>
        <v/>
      </c>
    </row>
    <row r="368">
      <c r="A368" s="40" t="n"/>
      <c r="B368" s="41" t="n"/>
      <c r="F368">
        <f>IF(E368="","",IFERROR(_xlfn.XLOOKUP(E368,Settings!$F$2:$F$36,Settings!$E$2:$E$36,""),""))</f>
        <v/>
      </c>
    </row>
    <row r="369">
      <c r="A369" s="40" t="n"/>
      <c r="B369" s="41" t="n"/>
      <c r="F369">
        <f>IF(E369="","",IFERROR(_xlfn.XLOOKUP(E369,Settings!$F$2:$F$36,Settings!$E$2:$E$36,""),""))</f>
        <v/>
      </c>
    </row>
    <row r="370">
      <c r="A370" s="40" t="n"/>
      <c r="B370" s="41" t="n"/>
      <c r="F370">
        <f>IF(E370="","",IFERROR(_xlfn.XLOOKUP(E370,Settings!$F$2:$F$36,Settings!$E$2:$E$36,""),""))</f>
        <v/>
      </c>
    </row>
    <row r="371">
      <c r="A371" s="40" t="n"/>
      <c r="B371" s="41" t="n"/>
      <c r="F371">
        <f>IF(E371="","",IFERROR(_xlfn.XLOOKUP(E371,Settings!$F$2:$F$36,Settings!$E$2:$E$36,""),""))</f>
        <v/>
      </c>
    </row>
    <row r="372">
      <c r="A372" s="40" t="n"/>
      <c r="B372" s="41" t="n"/>
      <c r="F372">
        <f>IF(E372="","",IFERROR(_xlfn.XLOOKUP(E372,Settings!$F$2:$F$36,Settings!$E$2:$E$36,""),""))</f>
        <v/>
      </c>
    </row>
    <row r="373">
      <c r="A373" s="40" t="n"/>
      <c r="B373" s="41" t="n"/>
      <c r="F373">
        <f>IF(E373="","",IFERROR(_xlfn.XLOOKUP(E373,Settings!$F$2:$F$36,Settings!$E$2:$E$36,""),""))</f>
        <v/>
      </c>
    </row>
    <row r="374">
      <c r="A374" s="40" t="n"/>
      <c r="B374" s="41" t="n"/>
      <c r="F374">
        <f>IF(E374="","",IFERROR(_xlfn.XLOOKUP(E374,Settings!$F$2:$F$36,Settings!$E$2:$E$36,""),""))</f>
        <v/>
      </c>
    </row>
    <row r="375">
      <c r="A375" s="40" t="n"/>
      <c r="B375" s="41" t="n"/>
      <c r="F375">
        <f>IF(E375="","",IFERROR(_xlfn.XLOOKUP(E375,Settings!$F$2:$F$36,Settings!$E$2:$E$36,""),""))</f>
        <v/>
      </c>
    </row>
    <row r="376">
      <c r="A376" s="40" t="n"/>
      <c r="B376" s="41" t="n"/>
      <c r="F376">
        <f>IF(E376="","",IFERROR(_xlfn.XLOOKUP(E376,Settings!$F$2:$F$36,Settings!$E$2:$E$36,""),""))</f>
        <v/>
      </c>
    </row>
    <row r="377">
      <c r="A377" s="40" t="n"/>
      <c r="B377" s="41" t="n"/>
      <c r="F377">
        <f>IF(E377="","",IFERROR(_xlfn.XLOOKUP(E377,Settings!$F$2:$F$36,Settings!$E$2:$E$36,""),""))</f>
        <v/>
      </c>
    </row>
    <row r="378">
      <c r="A378" s="40" t="n"/>
      <c r="B378" s="41" t="n"/>
      <c r="F378">
        <f>IF(E378="","",IFERROR(_xlfn.XLOOKUP(E378,Settings!$F$2:$F$36,Settings!$E$2:$E$36,""),""))</f>
        <v/>
      </c>
    </row>
    <row r="379">
      <c r="A379" s="40" t="n"/>
      <c r="B379" s="41" t="n"/>
      <c r="F379">
        <f>IF(E379="","",IFERROR(_xlfn.XLOOKUP(E379,Settings!$F$2:$F$36,Settings!$E$2:$E$36,""),""))</f>
        <v/>
      </c>
    </row>
    <row r="380">
      <c r="A380" s="40" t="n"/>
      <c r="B380" s="41" t="n"/>
      <c r="F380">
        <f>IF(E380="","",IFERROR(_xlfn.XLOOKUP(E380,Settings!$F$2:$F$36,Settings!$E$2:$E$36,""),""))</f>
        <v/>
      </c>
    </row>
    <row r="381">
      <c r="A381" s="40" t="n"/>
      <c r="B381" s="41" t="n"/>
      <c r="F381">
        <f>IF(E381="","",IFERROR(_xlfn.XLOOKUP(E381,Settings!$F$2:$F$36,Settings!$E$2:$E$36,""),""))</f>
        <v/>
      </c>
    </row>
    <row r="382">
      <c r="A382" s="40" t="n"/>
      <c r="B382" s="41" t="n"/>
      <c r="F382">
        <f>IF(E382="","",IFERROR(_xlfn.XLOOKUP(E382,Settings!$F$2:$F$36,Settings!$E$2:$E$36,""),""))</f>
        <v/>
      </c>
    </row>
    <row r="383">
      <c r="A383" s="40" t="n"/>
      <c r="B383" s="41" t="n"/>
      <c r="F383">
        <f>IF(E383="","",IFERROR(_xlfn.XLOOKUP(E383,Settings!$F$2:$F$36,Settings!$E$2:$E$36,""),""))</f>
        <v/>
      </c>
    </row>
    <row r="384">
      <c r="A384" s="40" t="n"/>
      <c r="B384" s="41" t="n"/>
      <c r="F384">
        <f>IF(E384="","",IFERROR(_xlfn.XLOOKUP(E384,Settings!$F$2:$F$36,Settings!$E$2:$E$36,""),""))</f>
        <v/>
      </c>
    </row>
    <row r="385">
      <c r="A385" s="40" t="n"/>
      <c r="B385" s="41" t="n"/>
      <c r="F385">
        <f>IF(E385="","",IFERROR(_xlfn.XLOOKUP(E385,Settings!$F$2:$F$36,Settings!$E$2:$E$36,""),""))</f>
        <v/>
      </c>
    </row>
    <row r="386">
      <c r="A386" s="40" t="n"/>
      <c r="B386" s="41" t="n"/>
      <c r="F386">
        <f>IF(E386="","",IFERROR(_xlfn.XLOOKUP(E386,Settings!$F$2:$F$36,Settings!$E$2:$E$36,""),""))</f>
        <v/>
      </c>
    </row>
    <row r="387">
      <c r="A387" s="40" t="n"/>
      <c r="B387" s="41" t="n"/>
      <c r="F387">
        <f>IF(E387="","",IFERROR(_xlfn.XLOOKUP(E387,Settings!$F$2:$F$36,Settings!$E$2:$E$36,""),""))</f>
        <v/>
      </c>
    </row>
    <row r="388">
      <c r="A388" s="40" t="n"/>
      <c r="B388" s="41" t="n"/>
      <c r="F388">
        <f>IF(E388="","",IFERROR(_xlfn.XLOOKUP(E388,Settings!$F$2:$F$36,Settings!$E$2:$E$36,""),""))</f>
        <v/>
      </c>
    </row>
    <row r="389">
      <c r="A389" s="40" t="n"/>
      <c r="B389" s="41" t="n"/>
      <c r="F389">
        <f>IF(E389="","",IFERROR(_xlfn.XLOOKUP(E389,Settings!$F$2:$F$36,Settings!$E$2:$E$36,""),""))</f>
        <v/>
      </c>
    </row>
    <row r="390">
      <c r="A390" s="40" t="n"/>
      <c r="B390" s="41" t="n"/>
      <c r="F390">
        <f>IF(E390="","",IFERROR(_xlfn.XLOOKUP(E390,Settings!$F$2:$F$36,Settings!$E$2:$E$36,""),""))</f>
        <v/>
      </c>
    </row>
    <row r="391">
      <c r="A391" s="40" t="n"/>
      <c r="B391" s="41" t="n"/>
      <c r="F391">
        <f>IF(E391="","",IFERROR(_xlfn.XLOOKUP(E391,Settings!$F$2:$F$36,Settings!$E$2:$E$36,""),""))</f>
        <v/>
      </c>
    </row>
    <row r="392">
      <c r="A392" s="40" t="n"/>
      <c r="B392" s="41" t="n"/>
      <c r="F392">
        <f>IF(E392="","",IFERROR(_xlfn.XLOOKUP(E392,Settings!$F$2:$F$36,Settings!$E$2:$E$36,""),""))</f>
        <v/>
      </c>
    </row>
    <row r="393">
      <c r="A393" s="40" t="n"/>
      <c r="B393" s="41" t="n"/>
      <c r="F393">
        <f>IF(E393="","",IFERROR(_xlfn.XLOOKUP(E393,Settings!$F$2:$F$36,Settings!$E$2:$E$36,""),""))</f>
        <v/>
      </c>
    </row>
    <row r="394">
      <c r="A394" s="40" t="n"/>
      <c r="B394" s="41" t="n"/>
      <c r="F394">
        <f>IF(E394="","",IFERROR(_xlfn.XLOOKUP(E394,Settings!$F$2:$F$36,Settings!$E$2:$E$36,""),""))</f>
        <v/>
      </c>
    </row>
    <row r="395">
      <c r="A395" s="40" t="n"/>
      <c r="B395" s="41" t="n"/>
      <c r="F395">
        <f>IF(E395="","",IFERROR(_xlfn.XLOOKUP(E395,Settings!$F$2:$F$36,Settings!$E$2:$E$36,""),""))</f>
        <v/>
      </c>
    </row>
    <row r="396">
      <c r="A396" s="40" t="n"/>
      <c r="B396" s="41" t="n"/>
      <c r="F396">
        <f>IF(E396="","",IFERROR(_xlfn.XLOOKUP(E396,Settings!$F$2:$F$36,Settings!$E$2:$E$36,""),""))</f>
        <v/>
      </c>
    </row>
    <row r="397">
      <c r="A397" s="40" t="n"/>
      <c r="B397" s="41" t="n"/>
      <c r="F397">
        <f>IF(E397="","",IFERROR(_xlfn.XLOOKUP(E397,Settings!$F$2:$F$36,Settings!$E$2:$E$36,""),""))</f>
        <v/>
      </c>
    </row>
    <row r="398">
      <c r="A398" s="40" t="n"/>
      <c r="B398" s="41" t="n"/>
      <c r="F398">
        <f>IF(E398="","",IFERROR(_xlfn.XLOOKUP(E398,Settings!$F$2:$F$36,Settings!$E$2:$E$36,""),""))</f>
        <v/>
      </c>
    </row>
    <row r="399">
      <c r="A399" s="40" t="n"/>
      <c r="B399" s="41" t="n"/>
      <c r="F399">
        <f>IF(E399="","",IFERROR(_xlfn.XLOOKUP(E399,Settings!$F$2:$F$36,Settings!$E$2:$E$36,""),""))</f>
        <v/>
      </c>
    </row>
    <row r="400">
      <c r="A400" s="40" t="n"/>
      <c r="B400" s="41" t="n"/>
      <c r="F400">
        <f>IF(E400="","",IFERROR(_xlfn.XLOOKUP(E400,Settings!$F$2:$F$36,Settings!$E$2:$E$36,""),""))</f>
        <v/>
      </c>
    </row>
    <row r="401">
      <c r="A401" s="40" t="n"/>
      <c r="B401" s="41" t="n"/>
      <c r="F401">
        <f>IF(E401="","",IFERROR(_xlfn.XLOOKUP(E401,Settings!$F$2:$F$36,Settings!$E$2:$E$36,""),""))</f>
        <v/>
      </c>
    </row>
    <row r="402">
      <c r="A402" s="40" t="n"/>
      <c r="B402" s="41" t="n"/>
      <c r="F402">
        <f>IF(E402="","",IFERROR(_xlfn.XLOOKUP(E402,Settings!$F$2:$F$36,Settings!$E$2:$E$36,""),""))</f>
        <v/>
      </c>
    </row>
    <row r="403">
      <c r="A403" s="40" t="n"/>
      <c r="B403" s="41" t="n"/>
      <c r="F403">
        <f>IF(E403="","",IFERROR(_xlfn.XLOOKUP(E403,Settings!$F$2:$F$36,Settings!$E$2:$E$36,""),""))</f>
        <v/>
      </c>
    </row>
    <row r="404">
      <c r="A404" s="40" t="n"/>
      <c r="B404" s="41" t="n"/>
      <c r="F404">
        <f>IF(E404="","",IFERROR(_xlfn.XLOOKUP(E404,Settings!$F$2:$F$36,Settings!$E$2:$E$36,""),""))</f>
        <v/>
      </c>
    </row>
    <row r="405">
      <c r="A405" s="40" t="n"/>
      <c r="B405" s="41" t="n"/>
      <c r="F405">
        <f>IF(E405="","",IFERROR(_xlfn.XLOOKUP(E405,Settings!$F$2:$F$36,Settings!$E$2:$E$36,""),""))</f>
        <v/>
      </c>
    </row>
    <row r="406">
      <c r="A406" s="40" t="n"/>
      <c r="B406" s="41" t="n"/>
      <c r="F406">
        <f>IF(E406="","",IFERROR(_xlfn.XLOOKUP(E406,Settings!$F$2:$F$36,Settings!$E$2:$E$36,""),""))</f>
        <v/>
      </c>
    </row>
    <row r="407">
      <c r="A407" s="40" t="n"/>
      <c r="B407" s="41" t="n"/>
      <c r="F407">
        <f>IF(E407="","",IFERROR(_xlfn.XLOOKUP(E407,Settings!$F$2:$F$36,Settings!$E$2:$E$36,""),""))</f>
        <v/>
      </c>
    </row>
    <row r="408">
      <c r="A408" s="40" t="n"/>
      <c r="B408" s="41" t="n"/>
      <c r="F408">
        <f>IF(E408="","",IFERROR(_xlfn.XLOOKUP(E408,Settings!$F$2:$F$36,Settings!$E$2:$E$36,""),""))</f>
        <v/>
      </c>
    </row>
    <row r="409">
      <c r="A409" s="40" t="n"/>
      <c r="B409" s="41" t="n"/>
      <c r="F409">
        <f>IF(E409="","",IFERROR(_xlfn.XLOOKUP(E409,Settings!$F$2:$F$36,Settings!$E$2:$E$36,""),""))</f>
        <v/>
      </c>
    </row>
    <row r="410">
      <c r="A410" s="40" t="n"/>
      <c r="B410" s="41" t="n"/>
      <c r="F410">
        <f>IF(E410="","",IFERROR(_xlfn.XLOOKUP(E410,Settings!$F$2:$F$36,Settings!$E$2:$E$36,""),""))</f>
        <v/>
      </c>
    </row>
    <row r="411">
      <c r="A411" s="40" t="n"/>
      <c r="B411" s="41" t="n"/>
      <c r="F411">
        <f>IF(E411="","",IFERROR(_xlfn.XLOOKUP(E411,Settings!$F$2:$F$36,Settings!$E$2:$E$36,""),""))</f>
        <v/>
      </c>
    </row>
    <row r="412">
      <c r="A412" s="40" t="n"/>
      <c r="B412" s="41" t="n"/>
      <c r="F412">
        <f>IF(E412="","",IFERROR(_xlfn.XLOOKUP(E412,Settings!$F$2:$F$36,Settings!$E$2:$E$36,""),""))</f>
        <v/>
      </c>
    </row>
    <row r="413">
      <c r="A413" s="40" t="n"/>
      <c r="B413" s="41" t="n"/>
      <c r="F413">
        <f>IF(E413="","",IFERROR(_xlfn.XLOOKUP(E413,Settings!$F$2:$F$36,Settings!$E$2:$E$36,""),""))</f>
        <v/>
      </c>
    </row>
    <row r="414">
      <c r="A414" s="40" t="n"/>
      <c r="B414" s="41" t="n"/>
      <c r="F414">
        <f>IF(E414="","",IFERROR(_xlfn.XLOOKUP(E414,Settings!$F$2:$F$36,Settings!$E$2:$E$36,""),""))</f>
        <v/>
      </c>
    </row>
    <row r="415">
      <c r="A415" s="40" t="n"/>
      <c r="B415" s="41" t="n"/>
      <c r="F415">
        <f>IF(E415="","",IFERROR(_xlfn.XLOOKUP(E415,Settings!$F$2:$F$36,Settings!$E$2:$E$36,""),""))</f>
        <v/>
      </c>
    </row>
    <row r="416">
      <c r="A416" s="40" t="n"/>
      <c r="B416" s="41" t="n"/>
      <c r="F416">
        <f>IF(E416="","",IFERROR(_xlfn.XLOOKUP(E416,Settings!$F$2:$F$36,Settings!$E$2:$E$36,""),""))</f>
        <v/>
      </c>
    </row>
    <row r="417">
      <c r="A417" s="40" t="n"/>
      <c r="B417" s="41" t="n"/>
      <c r="F417">
        <f>IF(E417="","",IFERROR(_xlfn.XLOOKUP(E417,Settings!$F$2:$F$36,Settings!$E$2:$E$36,""),""))</f>
        <v/>
      </c>
    </row>
    <row r="418">
      <c r="A418" s="40" t="n"/>
      <c r="B418" s="41" t="n"/>
      <c r="F418">
        <f>IF(E418="","",IFERROR(_xlfn.XLOOKUP(E418,Settings!$F$2:$F$36,Settings!$E$2:$E$36,""),""))</f>
        <v/>
      </c>
    </row>
    <row r="419">
      <c r="A419" s="40" t="n"/>
      <c r="B419" s="41" t="n"/>
      <c r="F419">
        <f>IF(E419="","",IFERROR(_xlfn.XLOOKUP(E419,Settings!$F$2:$F$36,Settings!$E$2:$E$36,""),""))</f>
        <v/>
      </c>
    </row>
    <row r="420">
      <c r="A420" s="40" t="n"/>
      <c r="B420" s="41" t="n"/>
      <c r="F420">
        <f>IF(E420="","",IFERROR(_xlfn.XLOOKUP(E420,Settings!$F$2:$F$36,Settings!$E$2:$E$36,""),""))</f>
        <v/>
      </c>
    </row>
    <row r="421">
      <c r="A421" s="40" t="n"/>
      <c r="B421" s="41" t="n"/>
      <c r="F421">
        <f>IF(E421="","",IFERROR(_xlfn.XLOOKUP(E421,Settings!$F$2:$F$36,Settings!$E$2:$E$36,""),""))</f>
        <v/>
      </c>
    </row>
    <row r="422">
      <c r="A422" s="40" t="n"/>
      <c r="B422" s="41" t="n"/>
      <c r="F422">
        <f>IF(E422="","",IFERROR(_xlfn.XLOOKUP(E422,Settings!$F$2:$F$36,Settings!$E$2:$E$36,""),""))</f>
        <v/>
      </c>
    </row>
    <row r="423">
      <c r="A423" s="40" t="n"/>
      <c r="B423" s="41" t="n"/>
      <c r="F423">
        <f>IF(E423="","",IFERROR(_xlfn.XLOOKUP(E423,Settings!$F$2:$F$36,Settings!$E$2:$E$36,""),""))</f>
        <v/>
      </c>
    </row>
    <row r="424">
      <c r="A424" s="40" t="n"/>
      <c r="B424" s="41" t="n"/>
      <c r="F424">
        <f>IF(E424="","",IFERROR(_xlfn.XLOOKUP(E424,Settings!$F$2:$F$36,Settings!$E$2:$E$36,""),""))</f>
        <v/>
      </c>
    </row>
    <row r="425">
      <c r="A425" s="40" t="n"/>
      <c r="B425" s="41" t="n"/>
      <c r="F425">
        <f>IF(E425="","",IFERROR(_xlfn.XLOOKUP(E425,Settings!$F$2:$F$36,Settings!$E$2:$E$36,""),""))</f>
        <v/>
      </c>
    </row>
    <row r="426">
      <c r="A426" s="40" t="n"/>
      <c r="B426" s="41" t="n"/>
      <c r="F426">
        <f>IF(E426="","",IFERROR(_xlfn.XLOOKUP(E426,Settings!$F$2:$F$36,Settings!$E$2:$E$36,""),""))</f>
        <v/>
      </c>
    </row>
    <row r="427">
      <c r="A427" s="40" t="n"/>
      <c r="B427" s="41" t="n"/>
      <c r="F427">
        <f>IF(E427="","",IFERROR(_xlfn.XLOOKUP(E427,Settings!$F$2:$F$36,Settings!$E$2:$E$36,""),""))</f>
        <v/>
      </c>
    </row>
    <row r="428">
      <c r="A428" s="40" t="n"/>
      <c r="B428" s="41" t="n"/>
      <c r="F428">
        <f>IF(E428="","",IFERROR(_xlfn.XLOOKUP(E428,Settings!$F$2:$F$36,Settings!$E$2:$E$36,""),""))</f>
        <v/>
      </c>
    </row>
    <row r="429">
      <c r="A429" s="40" t="n"/>
      <c r="B429" s="41" t="n"/>
      <c r="F429">
        <f>IF(E429="","",IFERROR(_xlfn.XLOOKUP(E429,Settings!$F$2:$F$36,Settings!$E$2:$E$36,""),""))</f>
        <v/>
      </c>
    </row>
    <row r="430">
      <c r="A430" s="40" t="n"/>
      <c r="B430" s="41" t="n"/>
      <c r="F430">
        <f>IF(E430="","",IFERROR(_xlfn.XLOOKUP(E430,Settings!$F$2:$F$36,Settings!$E$2:$E$36,""),""))</f>
        <v/>
      </c>
    </row>
    <row r="431">
      <c r="A431" s="40" t="n"/>
      <c r="B431" s="41" t="n"/>
      <c r="F431">
        <f>IF(E431="","",IFERROR(_xlfn.XLOOKUP(E431,Settings!$F$2:$F$36,Settings!$E$2:$E$36,""),""))</f>
        <v/>
      </c>
    </row>
    <row r="432">
      <c r="A432" s="40" t="n"/>
      <c r="B432" s="41" t="n"/>
      <c r="F432">
        <f>IF(E432="","",IFERROR(_xlfn.XLOOKUP(E432,Settings!$F$2:$F$36,Settings!$E$2:$E$36,""),""))</f>
        <v/>
      </c>
    </row>
    <row r="433">
      <c r="A433" s="40" t="n"/>
      <c r="B433" s="41" t="n"/>
      <c r="F433">
        <f>IF(E433="","",IFERROR(_xlfn.XLOOKUP(E433,Settings!$F$2:$F$36,Settings!$E$2:$E$36,""),""))</f>
        <v/>
      </c>
    </row>
    <row r="434">
      <c r="A434" s="40" t="n"/>
      <c r="B434" s="41" t="n"/>
      <c r="F434">
        <f>IF(E434="","",IFERROR(_xlfn.XLOOKUP(E434,Settings!$F$2:$F$36,Settings!$E$2:$E$36,""),""))</f>
        <v/>
      </c>
    </row>
    <row r="435">
      <c r="A435" s="40" t="n"/>
      <c r="B435" s="41" t="n"/>
      <c r="F435">
        <f>IF(E435="","",IFERROR(_xlfn.XLOOKUP(E435,Settings!$F$2:$F$36,Settings!$E$2:$E$36,""),""))</f>
        <v/>
      </c>
    </row>
    <row r="436">
      <c r="A436" s="40" t="n"/>
      <c r="B436" s="41" t="n"/>
      <c r="F436">
        <f>IF(E436="","",IFERROR(_xlfn.XLOOKUP(E436,Settings!$F$2:$F$36,Settings!$E$2:$E$36,""),""))</f>
        <v/>
      </c>
    </row>
    <row r="437">
      <c r="A437" s="40" t="n"/>
      <c r="B437" s="41" t="n"/>
      <c r="F437">
        <f>IF(E437="","",IFERROR(_xlfn.XLOOKUP(E437,Settings!$F$2:$F$36,Settings!$E$2:$E$36,""),""))</f>
        <v/>
      </c>
    </row>
    <row r="438">
      <c r="A438" s="40" t="n"/>
      <c r="B438" s="41" t="n"/>
      <c r="F438">
        <f>IF(E438="","",IFERROR(_xlfn.XLOOKUP(E438,Settings!$F$2:$F$36,Settings!$E$2:$E$36,""),""))</f>
        <v/>
      </c>
    </row>
    <row r="439">
      <c r="A439" s="40" t="n"/>
      <c r="B439" s="41" t="n"/>
      <c r="F439">
        <f>IF(E439="","",IFERROR(_xlfn.XLOOKUP(E439,Settings!$F$2:$F$36,Settings!$E$2:$E$36,""),""))</f>
        <v/>
      </c>
    </row>
    <row r="440">
      <c r="A440" s="40" t="n"/>
      <c r="B440" s="41" t="n"/>
      <c r="F440">
        <f>IF(E440="","",IFERROR(_xlfn.XLOOKUP(E440,Settings!$F$2:$F$36,Settings!$E$2:$E$36,""),""))</f>
        <v/>
      </c>
    </row>
    <row r="441">
      <c r="A441" s="40" t="n"/>
      <c r="B441" s="41" t="n"/>
      <c r="F441">
        <f>IF(E441="","",IFERROR(_xlfn.XLOOKUP(E441,Settings!$F$2:$F$36,Settings!$E$2:$E$36,""),""))</f>
        <v/>
      </c>
    </row>
    <row r="442">
      <c r="A442" s="40" t="n"/>
      <c r="B442" s="41" t="n"/>
      <c r="F442">
        <f>IF(E442="","",IFERROR(_xlfn.XLOOKUP(E442,Settings!$F$2:$F$36,Settings!$E$2:$E$36,""),""))</f>
        <v/>
      </c>
    </row>
    <row r="443">
      <c r="A443" s="40" t="n"/>
      <c r="B443" s="41" t="n"/>
      <c r="F443">
        <f>IF(E443="","",IFERROR(_xlfn.XLOOKUP(E443,Settings!$F$2:$F$36,Settings!$E$2:$E$36,""),""))</f>
        <v/>
      </c>
    </row>
    <row r="444">
      <c r="A444" s="40" t="n"/>
      <c r="B444" s="41" t="n"/>
      <c r="F444">
        <f>IF(E444="","",IFERROR(_xlfn.XLOOKUP(E444,Settings!$F$2:$F$36,Settings!$E$2:$E$36,""),""))</f>
        <v/>
      </c>
    </row>
    <row r="445">
      <c r="A445" s="40" t="n"/>
      <c r="B445" s="41" t="n"/>
      <c r="F445">
        <f>IF(E445="","",IFERROR(_xlfn.XLOOKUP(E445,Settings!$F$2:$F$36,Settings!$E$2:$E$36,""),""))</f>
        <v/>
      </c>
    </row>
    <row r="446">
      <c r="A446" s="40" t="n"/>
      <c r="B446" s="41" t="n"/>
      <c r="F446">
        <f>IF(E446="","",IFERROR(_xlfn.XLOOKUP(E446,Settings!$F$2:$F$36,Settings!$E$2:$E$36,""),""))</f>
        <v/>
      </c>
    </row>
    <row r="447">
      <c r="A447" s="40" t="n"/>
      <c r="B447" s="41" t="n"/>
      <c r="F447">
        <f>IF(E447="","",IFERROR(_xlfn.XLOOKUP(E447,Settings!$F$2:$F$36,Settings!$E$2:$E$36,""),""))</f>
        <v/>
      </c>
    </row>
    <row r="448">
      <c r="A448" s="40" t="n"/>
      <c r="B448" s="41" t="n"/>
      <c r="F448">
        <f>IF(E448="","",IFERROR(_xlfn.XLOOKUP(E448,Settings!$F$2:$F$36,Settings!$E$2:$E$36,""),""))</f>
        <v/>
      </c>
    </row>
    <row r="449">
      <c r="A449" s="40" t="n"/>
      <c r="B449" s="41" t="n"/>
      <c r="F449">
        <f>IF(E449="","",IFERROR(_xlfn.XLOOKUP(E449,Settings!$F$2:$F$36,Settings!$E$2:$E$36,""),""))</f>
        <v/>
      </c>
    </row>
    <row r="450">
      <c r="A450" s="40" t="n"/>
      <c r="B450" s="41" t="n"/>
      <c r="F450">
        <f>IF(E450="","",IFERROR(_xlfn.XLOOKUP(E450,Settings!$F$2:$F$36,Settings!$E$2:$E$36,""),""))</f>
        <v/>
      </c>
    </row>
    <row r="451">
      <c r="A451" s="40" t="n"/>
      <c r="B451" s="41" t="n"/>
      <c r="F451">
        <f>IF(E451="","",IFERROR(_xlfn.XLOOKUP(E451,Settings!$F$2:$F$36,Settings!$E$2:$E$36,""),""))</f>
        <v/>
      </c>
    </row>
    <row r="452">
      <c r="A452" s="40" t="n"/>
      <c r="B452" s="41" t="n"/>
      <c r="F452">
        <f>IF(E452="","",IFERROR(_xlfn.XLOOKUP(E452,Settings!$F$2:$F$36,Settings!$E$2:$E$36,""),""))</f>
        <v/>
      </c>
    </row>
    <row r="453">
      <c r="A453" s="40" t="n"/>
      <c r="B453" s="41" t="n"/>
      <c r="F453">
        <f>IF(E453="","",IFERROR(_xlfn.XLOOKUP(E453,Settings!$F$2:$F$36,Settings!$E$2:$E$36,""),""))</f>
        <v/>
      </c>
    </row>
    <row r="454">
      <c r="A454" s="40" t="n"/>
      <c r="B454" s="41" t="n"/>
      <c r="F454">
        <f>IF(E454="","",IFERROR(_xlfn.XLOOKUP(E454,Settings!$F$2:$F$36,Settings!$E$2:$E$36,""),""))</f>
        <v/>
      </c>
    </row>
    <row r="455">
      <c r="A455" s="40" t="n"/>
      <c r="B455" s="41" t="n"/>
      <c r="F455">
        <f>IF(E455="","",IFERROR(_xlfn.XLOOKUP(E455,Settings!$F$2:$F$36,Settings!$E$2:$E$36,""),""))</f>
        <v/>
      </c>
    </row>
    <row r="456">
      <c r="A456" s="40" t="n"/>
      <c r="B456" s="41" t="n"/>
      <c r="F456">
        <f>IF(E456="","",IFERROR(_xlfn.XLOOKUP(E456,Settings!$F$2:$F$36,Settings!$E$2:$E$36,""),""))</f>
        <v/>
      </c>
    </row>
    <row r="457">
      <c r="A457" s="40" t="n"/>
      <c r="B457" s="41" t="n"/>
      <c r="F457">
        <f>IF(E457="","",IFERROR(_xlfn.XLOOKUP(E457,Settings!$F$2:$F$36,Settings!$E$2:$E$36,""),""))</f>
        <v/>
      </c>
    </row>
    <row r="458">
      <c r="A458" s="40" t="n"/>
      <c r="B458" s="41" t="n"/>
      <c r="F458">
        <f>IF(E458="","",IFERROR(_xlfn.XLOOKUP(E458,Settings!$F$2:$F$36,Settings!$E$2:$E$36,""),""))</f>
        <v/>
      </c>
    </row>
    <row r="459">
      <c r="A459" s="40" t="n"/>
      <c r="B459" s="41" t="n"/>
      <c r="F459">
        <f>IF(E459="","",IFERROR(_xlfn.XLOOKUP(E459,Settings!$F$2:$F$36,Settings!$E$2:$E$36,""),""))</f>
        <v/>
      </c>
    </row>
    <row r="460">
      <c r="A460" s="40" t="n"/>
      <c r="B460" s="41" t="n"/>
      <c r="F460">
        <f>IF(E460="","",IFERROR(_xlfn.XLOOKUP(E460,Settings!$F$2:$F$36,Settings!$E$2:$E$36,""),""))</f>
        <v/>
      </c>
    </row>
    <row r="461">
      <c r="A461" s="40" t="n"/>
      <c r="B461" s="41" t="n"/>
      <c r="F461">
        <f>IF(E461="","",IFERROR(_xlfn.XLOOKUP(E461,Settings!$F$2:$F$36,Settings!$E$2:$E$36,""),""))</f>
        <v/>
      </c>
    </row>
    <row r="462">
      <c r="A462" s="40" t="n"/>
      <c r="B462" s="41" t="n"/>
      <c r="F462">
        <f>IF(E462="","",IFERROR(_xlfn.XLOOKUP(E462,Settings!$F$2:$F$36,Settings!$E$2:$E$36,""),""))</f>
        <v/>
      </c>
    </row>
    <row r="463">
      <c r="A463" s="40" t="n"/>
      <c r="B463" s="41" t="n"/>
      <c r="F463">
        <f>IF(E463="","",IFERROR(_xlfn.XLOOKUP(E463,Settings!$F$2:$F$36,Settings!$E$2:$E$36,""),""))</f>
        <v/>
      </c>
    </row>
    <row r="464">
      <c r="A464" s="40" t="n"/>
      <c r="B464" s="41" t="n"/>
      <c r="F464">
        <f>IF(E464="","",IFERROR(_xlfn.XLOOKUP(E464,Settings!$F$2:$F$36,Settings!$E$2:$E$36,""),""))</f>
        <v/>
      </c>
    </row>
    <row r="465">
      <c r="A465" s="40" t="n"/>
      <c r="B465" s="41" t="n"/>
      <c r="F465">
        <f>IF(E465="","",IFERROR(_xlfn.XLOOKUP(E465,Settings!$F$2:$F$36,Settings!$E$2:$E$36,""),""))</f>
        <v/>
      </c>
    </row>
    <row r="466">
      <c r="A466" s="40" t="n"/>
      <c r="B466" s="41" t="n"/>
      <c r="F466">
        <f>IF(E466="","",IFERROR(_xlfn.XLOOKUP(E466,Settings!$F$2:$F$36,Settings!$E$2:$E$36,""),""))</f>
        <v/>
      </c>
    </row>
    <row r="467">
      <c r="A467" s="40" t="n"/>
      <c r="B467" s="41" t="n"/>
      <c r="F467">
        <f>IF(E467="","",IFERROR(_xlfn.XLOOKUP(E467,Settings!$F$2:$F$36,Settings!$E$2:$E$36,""),""))</f>
        <v/>
      </c>
    </row>
    <row r="468">
      <c r="A468" s="40" t="n"/>
      <c r="B468" s="41" t="n"/>
      <c r="F468">
        <f>IF(E468="","",IFERROR(_xlfn.XLOOKUP(E468,Settings!$F$2:$F$36,Settings!$E$2:$E$36,""),""))</f>
        <v/>
      </c>
    </row>
    <row r="469">
      <c r="A469" s="40" t="n"/>
      <c r="B469" s="41" t="n"/>
      <c r="F469">
        <f>IF(E469="","",IFERROR(_xlfn.XLOOKUP(E469,Settings!$F$2:$F$36,Settings!$E$2:$E$36,""),""))</f>
        <v/>
      </c>
    </row>
    <row r="470">
      <c r="A470" s="40" t="n"/>
      <c r="B470" s="41" t="n"/>
      <c r="F470">
        <f>IF(E470="","",IFERROR(_xlfn.XLOOKUP(E470,Settings!$F$2:$F$36,Settings!$E$2:$E$36,""),""))</f>
        <v/>
      </c>
    </row>
    <row r="471">
      <c r="A471" s="40" t="n"/>
      <c r="B471" s="41" t="n"/>
      <c r="F471">
        <f>IF(E471="","",IFERROR(_xlfn.XLOOKUP(E471,Settings!$F$2:$F$36,Settings!$E$2:$E$36,""),""))</f>
        <v/>
      </c>
    </row>
    <row r="472">
      <c r="A472" s="40" t="n"/>
      <c r="B472" s="41" t="n"/>
      <c r="F472">
        <f>IF(E472="","",IFERROR(_xlfn.XLOOKUP(E472,Settings!$F$2:$F$36,Settings!$E$2:$E$36,""),""))</f>
        <v/>
      </c>
    </row>
    <row r="473">
      <c r="A473" s="40" t="n"/>
      <c r="B473" s="41" t="n"/>
      <c r="F473">
        <f>IF(E473="","",IFERROR(_xlfn.XLOOKUP(E473,Settings!$F$2:$F$36,Settings!$E$2:$E$36,""),""))</f>
        <v/>
      </c>
    </row>
    <row r="474">
      <c r="A474" s="40" t="n"/>
      <c r="B474" s="41" t="n"/>
      <c r="F474">
        <f>IF(E474="","",IFERROR(_xlfn.XLOOKUP(E474,Settings!$F$2:$F$36,Settings!$E$2:$E$36,""),""))</f>
        <v/>
      </c>
    </row>
    <row r="475">
      <c r="A475" s="40" t="n"/>
      <c r="B475" s="41" t="n"/>
      <c r="F475">
        <f>IF(E475="","",IFERROR(_xlfn.XLOOKUP(E475,Settings!$F$2:$F$36,Settings!$E$2:$E$36,""),""))</f>
        <v/>
      </c>
    </row>
    <row r="476">
      <c r="A476" s="40" t="n"/>
      <c r="B476" s="41" t="n"/>
      <c r="F476">
        <f>IF(E476="","",IFERROR(_xlfn.XLOOKUP(E476,Settings!$F$2:$F$36,Settings!$E$2:$E$36,""),""))</f>
        <v/>
      </c>
    </row>
    <row r="477">
      <c r="A477" s="40" t="n"/>
      <c r="B477" s="41" t="n"/>
      <c r="F477">
        <f>IF(E477="","",IFERROR(_xlfn.XLOOKUP(E477,Settings!$F$2:$F$36,Settings!$E$2:$E$36,""),""))</f>
        <v/>
      </c>
    </row>
    <row r="478">
      <c r="A478" s="40" t="n"/>
      <c r="B478" s="41" t="n"/>
      <c r="F478">
        <f>IF(E478="","",IFERROR(_xlfn.XLOOKUP(E478,Settings!$F$2:$F$36,Settings!$E$2:$E$36,""),""))</f>
        <v/>
      </c>
    </row>
    <row r="479">
      <c r="A479" s="40" t="n"/>
      <c r="B479" s="41" t="n"/>
      <c r="F479">
        <f>IF(E479="","",IFERROR(_xlfn.XLOOKUP(E479,Settings!$F$2:$F$36,Settings!$E$2:$E$36,""),""))</f>
        <v/>
      </c>
    </row>
    <row r="480">
      <c r="A480" s="40" t="n"/>
      <c r="B480" s="41" t="n"/>
      <c r="F480">
        <f>IF(E480="","",IFERROR(_xlfn.XLOOKUP(E480,Settings!$F$2:$F$36,Settings!$E$2:$E$36,""),""))</f>
        <v/>
      </c>
    </row>
    <row r="481">
      <c r="A481" s="40" t="n"/>
      <c r="B481" s="41" t="n"/>
      <c r="F481">
        <f>IF(E481="","",IFERROR(_xlfn.XLOOKUP(E481,Settings!$F$2:$F$36,Settings!$E$2:$E$36,""),""))</f>
        <v/>
      </c>
    </row>
    <row r="482">
      <c r="A482" s="40" t="n"/>
      <c r="B482" s="41" t="n"/>
      <c r="F482">
        <f>IF(E482="","",IFERROR(_xlfn.XLOOKUP(E482,Settings!$F$2:$F$36,Settings!$E$2:$E$36,""),""))</f>
        <v/>
      </c>
    </row>
    <row r="483">
      <c r="A483" s="40" t="n"/>
      <c r="B483" s="41" t="n"/>
      <c r="F483">
        <f>IF(E483="","",IFERROR(_xlfn.XLOOKUP(E483,Settings!$F$2:$F$36,Settings!$E$2:$E$36,""),""))</f>
        <v/>
      </c>
    </row>
    <row r="484">
      <c r="A484" s="40" t="n"/>
      <c r="B484" s="41" t="n"/>
      <c r="F484">
        <f>IF(E484="","",IFERROR(_xlfn.XLOOKUP(E484,Settings!$F$2:$F$36,Settings!$E$2:$E$36,""),""))</f>
        <v/>
      </c>
    </row>
    <row r="485">
      <c r="A485" s="40" t="n"/>
      <c r="B485" s="41" t="n"/>
      <c r="F485">
        <f>IF(E485="","",IFERROR(_xlfn.XLOOKUP(E485,Settings!$F$2:$F$36,Settings!$E$2:$E$36,""),""))</f>
        <v/>
      </c>
    </row>
    <row r="486">
      <c r="A486" s="40" t="n"/>
      <c r="B486" s="41" t="n"/>
      <c r="F486">
        <f>IF(E486="","",IFERROR(_xlfn.XLOOKUP(E486,Settings!$F$2:$F$36,Settings!$E$2:$E$36,""),""))</f>
        <v/>
      </c>
    </row>
    <row r="487">
      <c r="A487" s="40" t="n"/>
      <c r="B487" s="41" t="n"/>
      <c r="F487">
        <f>IF(E487="","",IFERROR(_xlfn.XLOOKUP(E487,Settings!$F$2:$F$36,Settings!$E$2:$E$36,""),""))</f>
        <v/>
      </c>
    </row>
    <row r="488">
      <c r="A488" s="40" t="n"/>
      <c r="B488" s="41" t="n"/>
      <c r="F488">
        <f>IF(E488="","",IFERROR(_xlfn.XLOOKUP(E488,Settings!$F$2:$F$36,Settings!$E$2:$E$36,""),""))</f>
        <v/>
      </c>
    </row>
    <row r="489">
      <c r="A489" s="40" t="n"/>
      <c r="B489" s="41" t="n"/>
      <c r="F489">
        <f>IF(E489="","",IFERROR(_xlfn.XLOOKUP(E489,Settings!$F$2:$F$36,Settings!$E$2:$E$36,""),""))</f>
        <v/>
      </c>
    </row>
    <row r="490">
      <c r="A490" s="40" t="n"/>
      <c r="B490" s="41" t="n"/>
      <c r="F490">
        <f>IF(E490="","",IFERROR(_xlfn.XLOOKUP(E490,Settings!$F$2:$F$36,Settings!$E$2:$E$36,""),""))</f>
        <v/>
      </c>
    </row>
    <row r="491">
      <c r="A491" s="40" t="n"/>
      <c r="B491" s="41" t="n"/>
      <c r="F491">
        <f>IF(E491="","",IFERROR(_xlfn.XLOOKUP(E491,Settings!$F$2:$F$36,Settings!$E$2:$E$36,""),""))</f>
        <v/>
      </c>
    </row>
    <row r="492">
      <c r="A492" s="40" t="n"/>
      <c r="B492" s="41" t="n"/>
      <c r="F492">
        <f>IF(E492="","",IFERROR(_xlfn.XLOOKUP(E492,Settings!$F$2:$F$36,Settings!$E$2:$E$36,""),""))</f>
        <v/>
      </c>
    </row>
    <row r="493">
      <c r="A493" s="40" t="n"/>
      <c r="B493" s="41" t="n"/>
      <c r="F493">
        <f>IF(E493="","",IFERROR(_xlfn.XLOOKUP(E493,Settings!$F$2:$F$36,Settings!$E$2:$E$36,""),""))</f>
        <v/>
      </c>
    </row>
    <row r="494">
      <c r="A494" s="40" t="n"/>
      <c r="B494" s="41" t="n"/>
      <c r="F494">
        <f>IF(E494="","",IFERROR(_xlfn.XLOOKUP(E494,Settings!$F$2:$F$36,Settings!$E$2:$E$36,""),""))</f>
        <v/>
      </c>
    </row>
    <row r="495">
      <c r="A495" s="40" t="n"/>
      <c r="B495" s="41" t="n"/>
      <c r="F495">
        <f>IF(E495="","",IFERROR(_xlfn.XLOOKUP(E495,Settings!$F$2:$F$36,Settings!$E$2:$E$36,""),""))</f>
        <v/>
      </c>
    </row>
    <row r="496">
      <c r="A496" s="40" t="n"/>
      <c r="B496" s="41" t="n"/>
      <c r="F496">
        <f>IF(E496="","",IFERROR(_xlfn.XLOOKUP(E496,Settings!$F$2:$F$36,Settings!$E$2:$E$36,""),""))</f>
        <v/>
      </c>
    </row>
    <row r="497">
      <c r="A497" s="40" t="n"/>
      <c r="B497" s="41" t="n"/>
      <c r="F497">
        <f>IF(E497="","",IFERROR(_xlfn.XLOOKUP(E497,Settings!$F$2:$F$36,Settings!$E$2:$E$36,""),""))</f>
        <v/>
      </c>
    </row>
    <row r="498">
      <c r="A498" s="40" t="n"/>
      <c r="B498" s="41" t="n"/>
      <c r="F498">
        <f>IF(E498="","",IFERROR(_xlfn.XLOOKUP(E498,Settings!$F$2:$F$36,Settings!$E$2:$E$36,""),""))</f>
        <v/>
      </c>
    </row>
    <row r="499">
      <c r="A499" s="40" t="n"/>
      <c r="B499" s="41" t="n"/>
      <c r="F499">
        <f>IF(E499="","",IFERROR(_xlfn.XLOOKUP(E499,Settings!$F$2:$F$36,Settings!$E$2:$E$36,""),""))</f>
        <v/>
      </c>
    </row>
    <row r="500">
      <c r="A500" s="40" t="n"/>
      <c r="B500" s="41" t="n"/>
      <c r="F500">
        <f>IF(E500="","",IFERROR(_xlfn.XLOOKUP(E500,Settings!$F$2:$F$36,Settings!$E$2:$E$36,""),""))</f>
        <v/>
      </c>
    </row>
    <row r="501">
      <c r="A501" s="40" t="n"/>
      <c r="B501" s="41" t="n"/>
      <c r="F501">
        <f>IF(E501="","",IFERROR(_xlfn.XLOOKUP(E501,Settings!$F$2:$F$38,Settings!$E$2:$E$38,""),""))</f>
        <v/>
      </c>
    </row>
    <row r="502">
      <c r="F502">
        <f>IF(E502="","",IFERROR(_xlfn.XLOOKUP(E502,Settings!$F$2:$F$38,Settings!$E$2:$E$38,""),""))</f>
        <v/>
      </c>
    </row>
    <row r="503">
      <c r="F503">
        <f>IF(E503="","",IFERROR(_xlfn.XLOOKUP(E503,Settings!$F$2:$F$38,Settings!$E$2:$E$38,""),""))</f>
        <v/>
      </c>
    </row>
    <row r="504">
      <c r="F504">
        <f>IF(E504="","",IFERROR(_xlfn.XLOOKUP(E504,Settings!$F$2:$F$38,Settings!$E$2:$E$38,""),""))</f>
        <v/>
      </c>
    </row>
    <row r="505">
      <c r="F505">
        <f>IF(E505="","",IFERROR(_xlfn.XLOOKUP(E505,Settings!$F$2:$F$38,Settings!$E$2:$E$38,""),""))</f>
        <v/>
      </c>
    </row>
    <row r="506">
      <c r="F506">
        <f>IF(E506="","",IFERROR(_xlfn.XLOOKUP(E506,Settings!$F$2:$F$38,Settings!$E$2:$E$38,""),""))</f>
        <v/>
      </c>
    </row>
    <row r="507">
      <c r="F507">
        <f>IF(E507="","",IFERROR(_xlfn.XLOOKUP(E507,Settings!$F$2:$F$38,Settings!$E$2:$E$38,""),""))</f>
        <v/>
      </c>
    </row>
    <row r="508">
      <c r="F508">
        <f>IF(E508="","",IFERROR(_xlfn.XLOOKUP(E508,Settings!$F$2:$F$38,Settings!$E$2:$E$38,""),""))</f>
        <v/>
      </c>
    </row>
    <row r="509">
      <c r="F509">
        <f>IF(E509="","",IFERROR(_xlfn.XLOOKUP(E509,Settings!$F$2:$F$38,Settings!$E$2:$E$38,""),""))</f>
        <v/>
      </c>
    </row>
    <row r="510">
      <c r="F510">
        <f>IF(E510="","",IFERROR(_xlfn.XLOOKUP(E510,Settings!$F$2:$F$38,Settings!$E$2:$E$38,""),""))</f>
        <v/>
      </c>
    </row>
    <row r="511">
      <c r="F511">
        <f>IF(E511="","",IFERROR(_xlfn.XLOOKUP(E511,Settings!$F$2:$F$38,Settings!$E$2:$E$38,""),""))</f>
        <v/>
      </c>
    </row>
    <row r="512">
      <c r="F512">
        <f>IF(E512="","",IFERROR(_xlfn.XLOOKUP(E512,Settings!$F$2:$F$38,Settings!$E$2:$E$38,""),""))</f>
        <v/>
      </c>
    </row>
    <row r="513">
      <c r="F513">
        <f>IF(E513="","",IFERROR(_xlfn.XLOOKUP(E513,Settings!$F$2:$F$38,Settings!$E$2:$E$38,""),""))</f>
        <v/>
      </c>
    </row>
    <row r="514">
      <c r="F514">
        <f>IF(E514="","",IFERROR(_xlfn.XLOOKUP(E514,Settings!$F$2:$F$38,Settings!$E$2:$E$38,""),""))</f>
        <v/>
      </c>
    </row>
    <row r="515">
      <c r="F515">
        <f>IF(E515="","",IFERROR(_xlfn.XLOOKUP(E515,Settings!$F$2:$F$38,Settings!$E$2:$E$38,""),""))</f>
        <v/>
      </c>
    </row>
    <row r="516">
      <c r="F516">
        <f>IF(E516="","",IFERROR(_xlfn.XLOOKUP(E516,Settings!$F$2:$F$38,Settings!$E$2:$E$38,""),""))</f>
        <v/>
      </c>
    </row>
    <row r="517">
      <c r="F517">
        <f>IF(E517="","",IFERROR(_xlfn.XLOOKUP(E517,Settings!$F$2:$F$38,Settings!$E$2:$E$38,""),""))</f>
        <v/>
      </c>
    </row>
    <row r="518">
      <c r="F518">
        <f>IF(E518="","",IFERROR(_xlfn.XLOOKUP(E518,Settings!$F$2:$F$38,Settings!$E$2:$E$38,""),""))</f>
        <v/>
      </c>
    </row>
    <row r="519">
      <c r="F519">
        <f>IF(E519="","",IFERROR(_xlfn.XLOOKUP(E519,Settings!$F$2:$F$38,Settings!$E$2:$E$38,""),""))</f>
        <v/>
      </c>
    </row>
    <row r="520">
      <c r="F520">
        <f>IF(E520="","",IFERROR(_xlfn.XLOOKUP(E520,Settings!$F$2:$F$38,Settings!$E$2:$E$38,""),""))</f>
        <v/>
      </c>
    </row>
    <row r="521">
      <c r="F521">
        <f>IF(E521="","",IFERROR(_xlfn.XLOOKUP(E521,Settings!$F$2:$F$38,Settings!$E$2:$E$38,""),""))</f>
        <v/>
      </c>
    </row>
    <row r="522">
      <c r="F522">
        <f>IF(E522="","",IFERROR(_xlfn.XLOOKUP(E522,Settings!$F$2:$F$38,Settings!$E$2:$E$38,""),""))</f>
        <v/>
      </c>
    </row>
    <row r="523">
      <c r="F523">
        <f>IF(E523="","",IFERROR(_xlfn.XLOOKUP(E523,Settings!$F$2:$F$38,Settings!$E$2:$E$38,""),""))</f>
        <v/>
      </c>
    </row>
    <row r="524">
      <c r="F524">
        <f>IF(E524="","",IFERROR(_xlfn.XLOOKUP(E524,Settings!$F$2:$F$38,Settings!$E$2:$E$38,""),""))</f>
        <v/>
      </c>
    </row>
    <row r="525">
      <c r="F525">
        <f>IF(E525="","",IFERROR(_xlfn.XLOOKUP(E525,Settings!$F$2:$F$38,Settings!$E$2:$E$38,""),""))</f>
        <v/>
      </c>
    </row>
    <row r="526">
      <c r="F526">
        <f>IF(E526="","",IFERROR(_xlfn.XLOOKUP(E526,Settings!$F$2:$F$38,Settings!$E$2:$E$38,""),""))</f>
        <v/>
      </c>
    </row>
    <row r="527">
      <c r="F527">
        <f>IF(E527="","",IFERROR(_xlfn.XLOOKUP(E527,Settings!$F$2:$F$38,Settings!$E$2:$E$38,""),""))</f>
        <v/>
      </c>
    </row>
    <row r="528">
      <c r="F528">
        <f>IF(E528="","",IFERROR(_xlfn.XLOOKUP(E528,Settings!$F$2:$F$38,Settings!$E$2:$E$38,""),""))</f>
        <v/>
      </c>
    </row>
    <row r="529">
      <c r="F529">
        <f>IF(E529="","",IFERROR(_xlfn.XLOOKUP(E529,Settings!$F$2:$F$38,Settings!$E$2:$E$38,""),""))</f>
        <v/>
      </c>
    </row>
    <row r="530">
      <c r="F530">
        <f>IF(E530="","",IFERROR(_xlfn.XLOOKUP(E530,Settings!$F$2:$F$38,Settings!$E$2:$E$38,""),""))</f>
        <v/>
      </c>
    </row>
    <row r="531">
      <c r="F531">
        <f>IF(E531="","",IFERROR(_xlfn.XLOOKUP(E531,Settings!$F$2:$F$38,Settings!$E$2:$E$38,""),""))</f>
        <v/>
      </c>
    </row>
    <row r="532">
      <c r="F532">
        <f>IF(E532="","",IFERROR(_xlfn.XLOOKUP(E532,Settings!$F$2:$F$38,Settings!$E$2:$E$38,""),""))</f>
        <v/>
      </c>
    </row>
    <row r="533">
      <c r="F533">
        <f>IF(E533="","",IFERROR(_xlfn.XLOOKUP(E533,Settings!$F$2:$F$38,Settings!$E$2:$E$38,""),""))</f>
        <v/>
      </c>
    </row>
    <row r="534">
      <c r="F534">
        <f>IF(E534="","",IFERROR(_xlfn.XLOOKUP(E534,Settings!$F$2:$F$38,Settings!$E$2:$E$38,""),""))</f>
        <v/>
      </c>
    </row>
    <row r="535">
      <c r="F535">
        <f>IF(E535="","",IFERROR(_xlfn.XLOOKUP(E535,Settings!$F$2:$F$38,Settings!$E$2:$E$38,""),""))</f>
        <v/>
      </c>
    </row>
    <row r="536">
      <c r="F536">
        <f>IF(E536="","",IFERROR(_xlfn.XLOOKUP(E536,Settings!$F$2:$F$38,Settings!$E$2:$E$38,""),""))</f>
        <v/>
      </c>
    </row>
    <row r="537">
      <c r="F537">
        <f>IF(E537="","",IFERROR(_xlfn.XLOOKUP(E537,Settings!$F$2:$F$38,Settings!$E$2:$E$38,""),""))</f>
        <v/>
      </c>
    </row>
    <row r="538">
      <c r="F538">
        <f>IF(E538="","",IFERROR(_xlfn.XLOOKUP(E538,Settings!$F$2:$F$38,Settings!$E$2:$E$38,""),""))</f>
        <v/>
      </c>
    </row>
    <row r="539">
      <c r="F539">
        <f>IF(E539="","",IFERROR(_xlfn.XLOOKUP(E539,Settings!$F$2:$F$38,Settings!$E$2:$E$38,""),""))</f>
        <v/>
      </c>
    </row>
    <row r="540">
      <c r="F540">
        <f>IF(E540="","",IFERROR(_xlfn.XLOOKUP(E540,Settings!$F$2:$F$38,Settings!$E$2:$E$38,""),""))</f>
        <v/>
      </c>
    </row>
    <row r="541">
      <c r="F541">
        <f>IF(E541="","",IFERROR(_xlfn.XLOOKUP(E541,Settings!$F$2:$F$38,Settings!$E$2:$E$38,""),""))</f>
        <v/>
      </c>
    </row>
    <row r="542">
      <c r="F542">
        <f>IF(E542="","",IFERROR(_xlfn.XLOOKUP(E542,Settings!$F$2:$F$38,Settings!$E$2:$E$38,""),""))</f>
        <v/>
      </c>
    </row>
    <row r="543">
      <c r="F543">
        <f>IF(E543="","",IFERROR(_xlfn.XLOOKUP(E543,Settings!$F$2:$F$38,Settings!$E$2:$E$38,""),""))</f>
        <v/>
      </c>
    </row>
    <row r="544">
      <c r="F544">
        <f>IF(E544="","",IFERROR(_xlfn.XLOOKUP(E544,Settings!$F$2:$F$38,Settings!$E$2:$E$38,""),""))</f>
        <v/>
      </c>
    </row>
    <row r="545">
      <c r="F545">
        <f>IF(E545="","",IFERROR(_xlfn.XLOOKUP(E545,Settings!$F$2:$F$38,Settings!$E$2:$E$38,""),""))</f>
        <v/>
      </c>
    </row>
    <row r="546">
      <c r="F546">
        <f>IF(E546="","",IFERROR(_xlfn.XLOOKUP(E546,Settings!$F$2:$F$38,Settings!$E$2:$E$38,""),""))</f>
        <v/>
      </c>
    </row>
    <row r="547">
      <c r="F547">
        <f>IF(E547="","",IFERROR(_xlfn.XLOOKUP(E547,Settings!$F$2:$F$38,Settings!$E$2:$E$38,""),""))</f>
        <v/>
      </c>
    </row>
    <row r="548">
      <c r="F548">
        <f>IF(E548="","",IFERROR(_xlfn.XLOOKUP(E548,Settings!$F$2:$F$38,Settings!$E$2:$E$38,""),""))</f>
        <v/>
      </c>
    </row>
    <row r="549">
      <c r="F549">
        <f>IF(E549="","",IFERROR(_xlfn.XLOOKUP(E549,Settings!$F$2:$F$38,Settings!$E$2:$E$38,""),""))</f>
        <v/>
      </c>
    </row>
    <row r="550">
      <c r="F550">
        <f>IF(E550="","",IFERROR(_xlfn.XLOOKUP(E550,Settings!$F$2:$F$38,Settings!$E$2:$E$38,""),""))</f>
        <v/>
      </c>
    </row>
    <row r="551">
      <c r="F551">
        <f>IF(E551="","",IFERROR(_xlfn.XLOOKUP(E551,Settings!$F$2:$F$38,Settings!$E$2:$E$38,""),""))</f>
        <v/>
      </c>
    </row>
    <row r="552">
      <c r="F552">
        <f>IF(E552="","",IFERROR(_xlfn.XLOOKUP(E552,Settings!$F$2:$F$38,Settings!$E$2:$E$38,""),""))</f>
        <v/>
      </c>
    </row>
    <row r="553">
      <c r="F553">
        <f>IF(E553="","",IFERROR(_xlfn.XLOOKUP(E553,Settings!$F$2:$F$38,Settings!$E$2:$E$38,""),""))</f>
        <v/>
      </c>
    </row>
    <row r="554">
      <c r="F554">
        <f>IF(E554="","",IFERROR(_xlfn.XLOOKUP(E554,Settings!$F$2:$F$38,Settings!$E$2:$E$38,""),""))</f>
        <v/>
      </c>
    </row>
    <row r="555">
      <c r="F555">
        <f>IF(E555="","",IFERROR(_xlfn.XLOOKUP(E555,Settings!$F$2:$F$38,Settings!$E$2:$E$38,""),""))</f>
        <v/>
      </c>
    </row>
    <row r="556">
      <c r="F556">
        <f>IF(E556="","",IFERROR(_xlfn.XLOOKUP(E556,Settings!$F$2:$F$38,Settings!$E$2:$E$38,""),""))</f>
        <v/>
      </c>
    </row>
    <row r="557">
      <c r="F557">
        <f>IF(E557="","",IFERROR(_xlfn.XLOOKUP(E557,Settings!$F$2:$F$38,Settings!$E$2:$E$38,""),""))</f>
        <v/>
      </c>
    </row>
    <row r="558">
      <c r="F558">
        <f>IF(E558="","",IFERROR(_xlfn.XLOOKUP(E558,Settings!$F$2:$F$38,Settings!$E$2:$E$38,""),""))</f>
        <v/>
      </c>
    </row>
    <row r="559">
      <c r="F559">
        <f>IF(E559="","",IFERROR(_xlfn.XLOOKUP(E559,Settings!$F$2:$F$38,Settings!$E$2:$E$38,""),""))</f>
        <v/>
      </c>
    </row>
    <row r="560">
      <c r="F560">
        <f>IF(E560="","",IFERROR(_xlfn.XLOOKUP(E560,Settings!$F$2:$F$38,Settings!$E$2:$E$38,""),""))</f>
        <v/>
      </c>
    </row>
    <row r="561">
      <c r="F561">
        <f>IF(E561="","",IFERROR(_xlfn.XLOOKUP(E561,Settings!$F$2:$F$38,Settings!$E$2:$E$38,""),""))</f>
        <v/>
      </c>
    </row>
    <row r="562">
      <c r="F562">
        <f>IF(E562="","",IFERROR(_xlfn.XLOOKUP(E562,Settings!$F$2:$F$38,Settings!$E$2:$E$38,""),""))</f>
        <v/>
      </c>
    </row>
    <row r="563">
      <c r="F563">
        <f>IF(E563="","",IFERROR(_xlfn.XLOOKUP(E563,Settings!$F$2:$F$38,Settings!$E$2:$E$38,""),""))</f>
        <v/>
      </c>
    </row>
    <row r="564">
      <c r="F564">
        <f>IF(E564="","",IFERROR(_xlfn.XLOOKUP(E564,Settings!$F$2:$F$38,Settings!$E$2:$E$38,""),""))</f>
        <v/>
      </c>
    </row>
    <row r="565">
      <c r="F565">
        <f>IF(E565="","",IFERROR(_xlfn.XLOOKUP(E565,Settings!$F$2:$F$38,Settings!$E$2:$E$38,""),""))</f>
        <v/>
      </c>
    </row>
    <row r="566">
      <c r="F566">
        <f>IF(E566="","",IFERROR(_xlfn.XLOOKUP(E566,Settings!$F$2:$F$38,Settings!$E$2:$E$38,""),""))</f>
        <v/>
      </c>
    </row>
    <row r="567">
      <c r="F567">
        <f>IF(E567="","",IFERROR(_xlfn.XLOOKUP(E567,Settings!$F$2:$F$38,Settings!$E$2:$E$38,""),""))</f>
        <v/>
      </c>
    </row>
    <row r="568">
      <c r="F568">
        <f>IF(E568="","",IFERROR(_xlfn.XLOOKUP(E568,Settings!$F$2:$F$38,Settings!$E$2:$E$38,""),""))</f>
        <v/>
      </c>
    </row>
    <row r="569">
      <c r="F569">
        <f>IF(E569="","",IFERROR(_xlfn.XLOOKUP(E569,Settings!$F$2:$F$38,Settings!$E$2:$E$38,""),""))</f>
        <v/>
      </c>
    </row>
    <row r="570">
      <c r="F570">
        <f>IF(E570="","",IFERROR(_xlfn.XLOOKUP(E570,Settings!$F$2:$F$38,Settings!$E$2:$E$38,""),""))</f>
        <v/>
      </c>
    </row>
    <row r="571">
      <c r="F571">
        <f>IF(E571="","",IFERROR(_xlfn.XLOOKUP(E571,Settings!$F$2:$F$38,Settings!$E$2:$E$38,""),""))</f>
        <v/>
      </c>
    </row>
    <row r="572">
      <c r="F572">
        <f>IF(E572="","",IFERROR(_xlfn.XLOOKUP(E572,Settings!$F$2:$F$38,Settings!$E$2:$E$38,""),""))</f>
        <v/>
      </c>
    </row>
    <row r="573">
      <c r="F573">
        <f>IF(E573="","",IFERROR(_xlfn.XLOOKUP(E573,Settings!$F$2:$F$38,Settings!$E$2:$E$38,""),""))</f>
        <v/>
      </c>
    </row>
    <row r="574">
      <c r="F574">
        <f>IF(E574="","",IFERROR(_xlfn.XLOOKUP(E574,Settings!$F$2:$F$38,Settings!$E$2:$E$38,""),""))</f>
        <v/>
      </c>
    </row>
    <row r="575">
      <c r="F575">
        <f>IF(E575="","",IFERROR(_xlfn.XLOOKUP(E575,Settings!$F$2:$F$38,Settings!$E$2:$E$38,""),""))</f>
        <v/>
      </c>
    </row>
    <row r="576">
      <c r="F576">
        <f>IF(E576="","",IFERROR(_xlfn.XLOOKUP(E576,Settings!$F$2:$F$38,Settings!$E$2:$E$38,""),""))</f>
        <v/>
      </c>
    </row>
    <row r="577">
      <c r="F577">
        <f>IF(E577="","",IFERROR(_xlfn.XLOOKUP(E577,Settings!$F$2:$F$38,Settings!$E$2:$E$38,""),""))</f>
        <v/>
      </c>
    </row>
    <row r="578">
      <c r="F578">
        <f>IF(E578="","",IFERROR(_xlfn.XLOOKUP(E578,Settings!$F$2:$F$38,Settings!$E$2:$E$38,""),""))</f>
        <v/>
      </c>
    </row>
    <row r="579">
      <c r="F579">
        <f>IF(E579="","",IFERROR(_xlfn.XLOOKUP(E579,Settings!$F$2:$F$38,Settings!$E$2:$E$38,""),""))</f>
        <v/>
      </c>
    </row>
    <row r="580">
      <c r="F580">
        <f>IF(E580="","",IFERROR(_xlfn.XLOOKUP(E580,Settings!$F$2:$F$38,Settings!$E$2:$E$38,""),""))</f>
        <v/>
      </c>
    </row>
    <row r="581">
      <c r="F581">
        <f>IF(E581="","",IFERROR(_xlfn.XLOOKUP(E581,Settings!$F$2:$F$38,Settings!$E$2:$E$38,""),""))</f>
        <v/>
      </c>
    </row>
    <row r="582">
      <c r="F582">
        <f>IF(E582="","",IFERROR(_xlfn.XLOOKUP(E582,Settings!$F$2:$F$38,Settings!$E$2:$E$38,""),""))</f>
        <v/>
      </c>
    </row>
    <row r="583">
      <c r="F583">
        <f>IF(E583="","",IFERROR(_xlfn.XLOOKUP(E583,Settings!$F$2:$F$38,Settings!$E$2:$E$38,""),""))</f>
        <v/>
      </c>
    </row>
    <row r="584">
      <c r="F584">
        <f>IF(E584="","",IFERROR(_xlfn.XLOOKUP(E584,Settings!$F$2:$F$38,Settings!$E$2:$E$38,""),""))</f>
        <v/>
      </c>
    </row>
    <row r="585">
      <c r="F585">
        <f>IF(E585="","",IFERROR(_xlfn.XLOOKUP(E585,Settings!$F$2:$F$38,Settings!$E$2:$E$38,""),""))</f>
        <v/>
      </c>
    </row>
    <row r="586">
      <c r="F586">
        <f>IF(E586="","",IFERROR(_xlfn.XLOOKUP(E586,Settings!$F$2:$F$38,Settings!$E$2:$E$38,""),""))</f>
        <v/>
      </c>
    </row>
    <row r="587">
      <c r="F587">
        <f>IF(E587="","",IFERROR(_xlfn.XLOOKUP(E587,Settings!$F$2:$F$38,Settings!$E$2:$E$38,""),""))</f>
        <v/>
      </c>
    </row>
    <row r="588">
      <c r="F588">
        <f>IF(E588="","",IFERROR(_xlfn.XLOOKUP(E588,Settings!$F$2:$F$38,Settings!$E$2:$E$38,""),""))</f>
        <v/>
      </c>
    </row>
    <row r="589">
      <c r="F589">
        <f>IF(E589="","",IFERROR(_xlfn.XLOOKUP(E589,Settings!$F$2:$F$38,Settings!$E$2:$E$38,""),""))</f>
        <v/>
      </c>
    </row>
    <row r="590">
      <c r="F590">
        <f>IF(E590="","",IFERROR(_xlfn.XLOOKUP(E590,Settings!$F$2:$F$38,Settings!$E$2:$E$38,""),""))</f>
        <v/>
      </c>
    </row>
    <row r="591">
      <c r="F591">
        <f>IF(E591="","",IFERROR(_xlfn.XLOOKUP(E591,Settings!$F$2:$F$38,Settings!$E$2:$E$38,""),""))</f>
        <v/>
      </c>
    </row>
    <row r="592">
      <c r="F592">
        <f>IF(E592="","",IFERROR(_xlfn.XLOOKUP(E592,Settings!$F$2:$F$38,Settings!$E$2:$E$38,""),""))</f>
        <v/>
      </c>
    </row>
    <row r="593">
      <c r="F593">
        <f>IF(E593="","",IFERROR(_xlfn.XLOOKUP(E593,Settings!$F$2:$F$38,Settings!$E$2:$E$38,""),""))</f>
        <v/>
      </c>
    </row>
    <row r="594">
      <c r="F594">
        <f>IF(E594="","",IFERROR(_xlfn.XLOOKUP(E594,Settings!$F$2:$F$38,Settings!$E$2:$E$38,""),""))</f>
        <v/>
      </c>
    </row>
    <row r="595">
      <c r="F595">
        <f>IF(E595="","",IFERROR(_xlfn.XLOOKUP(E595,Settings!$F$2:$F$38,Settings!$E$2:$E$38,""),""))</f>
        <v/>
      </c>
    </row>
    <row r="596">
      <c r="F596">
        <f>IF(E596="","",IFERROR(_xlfn.XLOOKUP(E596,Settings!$F$2:$F$38,Settings!$E$2:$E$38,""),""))</f>
        <v/>
      </c>
    </row>
    <row r="597">
      <c r="F597">
        <f>IF(E597="","",IFERROR(_xlfn.XLOOKUP(E597,Settings!$F$2:$F$38,Settings!$E$2:$E$38,""),""))</f>
        <v/>
      </c>
    </row>
    <row r="598">
      <c r="F598">
        <f>IF(E598="","",IFERROR(_xlfn.XLOOKUP(E598,Settings!$F$2:$F$38,Settings!$E$2:$E$38,""),""))</f>
        <v/>
      </c>
    </row>
    <row r="599">
      <c r="F599">
        <f>IF(E599="","",IFERROR(_xlfn.XLOOKUP(E599,Settings!$F$2:$F$38,Settings!$E$2:$E$38,""),""))</f>
        <v/>
      </c>
    </row>
    <row r="600">
      <c r="F600">
        <f>IF(E600="","",IFERROR(_xlfn.XLOOKUP(E600,Settings!$F$2:$F$38,Settings!$E$2:$E$38,""),""))</f>
        <v/>
      </c>
    </row>
    <row r="601">
      <c r="F601">
        <f>IF(E601="","",IFERROR(_xlfn.XLOOKUP(E601,Settings!$F$2:$F$38,Settings!$E$2:$E$38,""),""))</f>
        <v/>
      </c>
    </row>
    <row r="602">
      <c r="F602">
        <f>IF(E602="","",IFERROR(_xlfn.XLOOKUP(E602,Settings!$F$2:$F$38,Settings!$E$2:$E$38,""),""))</f>
        <v/>
      </c>
    </row>
    <row r="603">
      <c r="F603">
        <f>IF(E603="","",IFERROR(_xlfn.XLOOKUP(E603,Settings!$F$2:$F$38,Settings!$E$2:$E$38,""),""))</f>
        <v/>
      </c>
    </row>
    <row r="604">
      <c r="F604">
        <f>IF(E604="","",IFERROR(_xlfn.XLOOKUP(E604,Settings!$F$2:$F$38,Settings!$E$2:$E$38,""),""))</f>
        <v/>
      </c>
    </row>
    <row r="605">
      <c r="F605">
        <f>IF(E605="","",IFERROR(_xlfn.XLOOKUP(E605,Settings!$F$2:$F$38,Settings!$E$2:$E$38,""),""))</f>
        <v/>
      </c>
    </row>
    <row r="606">
      <c r="F606">
        <f>IF(E606="","",IFERROR(_xlfn.XLOOKUP(E606,Settings!$F$2:$F$38,Settings!$E$2:$E$38,""),""))</f>
        <v/>
      </c>
    </row>
    <row r="607">
      <c r="F607">
        <f>IF(E607="","",IFERROR(_xlfn.XLOOKUP(E607,Settings!$F$2:$F$38,Settings!$E$2:$E$38,""),""))</f>
        <v/>
      </c>
    </row>
    <row r="608">
      <c r="F608">
        <f>IF(E608="","",IFERROR(_xlfn.XLOOKUP(E608,Settings!$F$2:$F$38,Settings!$E$2:$E$38,""),""))</f>
        <v/>
      </c>
    </row>
    <row r="609">
      <c r="F609">
        <f>IF(E609="","",IFERROR(_xlfn.XLOOKUP(E609,Settings!$F$2:$F$38,Settings!$E$2:$E$38,""),""))</f>
        <v/>
      </c>
    </row>
    <row r="610">
      <c r="F610">
        <f>IF(E610="","",IFERROR(_xlfn.XLOOKUP(E610,Settings!$F$2:$F$38,Settings!$E$2:$E$38,""),""))</f>
        <v/>
      </c>
    </row>
    <row r="611">
      <c r="F611">
        <f>IF(E611="","",IFERROR(_xlfn.XLOOKUP(E611,Settings!$F$2:$F$38,Settings!$E$2:$E$38,""),""))</f>
        <v/>
      </c>
    </row>
    <row r="612">
      <c r="F612">
        <f>IF(E612="","",IFERROR(_xlfn.XLOOKUP(E612,Settings!$F$2:$F$38,Settings!$E$2:$E$38,""),""))</f>
        <v/>
      </c>
    </row>
    <row r="613">
      <c r="F613">
        <f>IF(E613="","",IFERROR(_xlfn.XLOOKUP(E613,Settings!$F$2:$F$38,Settings!$E$2:$E$38,""),""))</f>
        <v/>
      </c>
    </row>
    <row r="614">
      <c r="F614">
        <f>IF(E614="","",IFERROR(_xlfn.XLOOKUP(E614,Settings!$F$2:$F$38,Settings!$E$2:$E$38,""),""))</f>
        <v/>
      </c>
    </row>
    <row r="615">
      <c r="F615">
        <f>IF(E615="","",IFERROR(_xlfn.XLOOKUP(E615,Settings!$F$2:$F$38,Settings!$E$2:$E$38,""),""))</f>
        <v/>
      </c>
    </row>
    <row r="616">
      <c r="F616">
        <f>IF(E616="","",IFERROR(_xlfn.XLOOKUP(E616,Settings!$F$2:$F$38,Settings!$E$2:$E$38,""),""))</f>
        <v/>
      </c>
    </row>
    <row r="617">
      <c r="F617">
        <f>IF(E617="","",IFERROR(_xlfn.XLOOKUP(E617,Settings!$F$2:$F$38,Settings!$E$2:$E$38,""),""))</f>
        <v/>
      </c>
    </row>
    <row r="618">
      <c r="F618">
        <f>IF(E618="","",IFERROR(_xlfn.XLOOKUP(E618,Settings!$F$2:$F$38,Settings!$E$2:$E$38,""),""))</f>
        <v/>
      </c>
    </row>
    <row r="619">
      <c r="F619">
        <f>IF(E619="","",IFERROR(_xlfn.XLOOKUP(E619,Settings!$F$2:$F$38,Settings!$E$2:$E$38,""),""))</f>
        <v/>
      </c>
    </row>
    <row r="620">
      <c r="F620">
        <f>IF(E620="","",IFERROR(_xlfn.XLOOKUP(E620,Settings!$F$2:$F$38,Settings!$E$2:$E$38,""),""))</f>
        <v/>
      </c>
    </row>
    <row r="621">
      <c r="F621">
        <f>IF(E621="","",IFERROR(_xlfn.XLOOKUP(E621,Settings!$F$2:$F$38,Settings!$E$2:$E$38,""),""))</f>
        <v/>
      </c>
    </row>
    <row r="622">
      <c r="F622">
        <f>IF(E622="","",IFERROR(_xlfn.XLOOKUP(E622,Settings!$F$2:$F$38,Settings!$E$2:$E$38,""),""))</f>
        <v/>
      </c>
    </row>
    <row r="623">
      <c r="F623">
        <f>IF(E623="","",IFERROR(_xlfn.XLOOKUP(E623,Settings!$F$2:$F$38,Settings!$E$2:$E$38,""),""))</f>
        <v/>
      </c>
    </row>
    <row r="624">
      <c r="F624">
        <f>IF(E624="","",IFERROR(_xlfn.XLOOKUP(E624,Settings!$F$2:$F$38,Settings!$E$2:$E$38,""),""))</f>
        <v/>
      </c>
    </row>
    <row r="625">
      <c r="F625">
        <f>IF(E625="","",IFERROR(_xlfn.XLOOKUP(E625,Settings!$F$2:$F$38,Settings!$E$2:$E$38,""),""))</f>
        <v/>
      </c>
    </row>
    <row r="626">
      <c r="F626">
        <f>IF(E626="","",IFERROR(_xlfn.XLOOKUP(E626,Settings!$F$2:$F$38,Settings!$E$2:$E$38,""),""))</f>
        <v/>
      </c>
    </row>
    <row r="627">
      <c r="F627">
        <f>IF(E627="","",IFERROR(_xlfn.XLOOKUP(E627,Settings!$F$2:$F$38,Settings!$E$2:$E$38,""),""))</f>
        <v/>
      </c>
    </row>
    <row r="628">
      <c r="F628">
        <f>IF(E628="","",IFERROR(_xlfn.XLOOKUP(E628,Settings!$F$2:$F$38,Settings!$E$2:$E$38,""),""))</f>
        <v/>
      </c>
    </row>
    <row r="629">
      <c r="F629">
        <f>IF(E629="","",IFERROR(_xlfn.XLOOKUP(E629,Settings!$F$2:$F$38,Settings!$E$2:$E$38,""),""))</f>
        <v/>
      </c>
    </row>
    <row r="630">
      <c r="F630">
        <f>IF(E630="","",IFERROR(_xlfn.XLOOKUP(E630,Settings!$F$2:$F$38,Settings!$E$2:$E$38,""),""))</f>
        <v/>
      </c>
    </row>
    <row r="631">
      <c r="F631">
        <f>IF(E631="","",IFERROR(_xlfn.XLOOKUP(E631,Settings!$F$2:$F$38,Settings!$E$2:$E$38,""),""))</f>
        <v/>
      </c>
    </row>
    <row r="632">
      <c r="F632">
        <f>IF(E632="","",IFERROR(_xlfn.XLOOKUP(E632,Settings!$F$2:$F$38,Settings!$E$2:$E$38,""),""))</f>
        <v/>
      </c>
    </row>
    <row r="633">
      <c r="F633">
        <f>IF(E633="","",IFERROR(_xlfn.XLOOKUP(E633,Settings!$F$2:$F$38,Settings!$E$2:$E$38,""),""))</f>
        <v/>
      </c>
    </row>
    <row r="634">
      <c r="F634">
        <f>IF(E634="","",IFERROR(_xlfn.XLOOKUP(E634,Settings!$F$2:$F$38,Settings!$E$2:$E$38,""),""))</f>
        <v/>
      </c>
    </row>
    <row r="635">
      <c r="F635">
        <f>IF(E635="","",IFERROR(_xlfn.XLOOKUP(E635,Settings!$F$2:$F$38,Settings!$E$2:$E$38,""),""))</f>
        <v/>
      </c>
    </row>
    <row r="636">
      <c r="F636">
        <f>IF(E636="","",IFERROR(_xlfn.XLOOKUP(E636,Settings!$F$2:$F$38,Settings!$E$2:$E$38,""),""))</f>
        <v/>
      </c>
    </row>
    <row r="637">
      <c r="F637">
        <f>IF(E637="","",IFERROR(_xlfn.XLOOKUP(E637,Settings!$F$2:$F$38,Settings!$E$2:$E$38,""),""))</f>
        <v/>
      </c>
    </row>
    <row r="638">
      <c r="F638">
        <f>IF(E638="","",IFERROR(_xlfn.XLOOKUP(E638,Settings!$F$2:$F$38,Settings!$E$2:$E$38,""),""))</f>
        <v/>
      </c>
    </row>
    <row r="639">
      <c r="F639">
        <f>IF(E639="","",IFERROR(_xlfn.XLOOKUP(E639,Settings!$F$2:$F$38,Settings!$E$2:$E$38,""),""))</f>
        <v/>
      </c>
    </row>
    <row r="640">
      <c r="F640">
        <f>IF(E640="","",IFERROR(_xlfn.XLOOKUP(E640,Settings!$F$2:$F$38,Settings!$E$2:$E$38,""),""))</f>
        <v/>
      </c>
    </row>
    <row r="641">
      <c r="F641">
        <f>IF(E641="","",IFERROR(_xlfn.XLOOKUP(E641,Settings!$F$2:$F$38,Settings!$E$2:$E$38,""),""))</f>
        <v/>
      </c>
    </row>
    <row r="642">
      <c r="F642">
        <f>IF(E642="","",IFERROR(_xlfn.XLOOKUP(E642,Settings!$F$2:$F$38,Settings!$E$2:$E$38,""),""))</f>
        <v/>
      </c>
    </row>
    <row r="643">
      <c r="F643">
        <f>IF(E643="","",IFERROR(_xlfn.XLOOKUP(E643,Settings!$F$2:$F$38,Settings!$E$2:$E$38,""),""))</f>
        <v/>
      </c>
    </row>
    <row r="644">
      <c r="F644">
        <f>IF(E644="","",IFERROR(_xlfn.XLOOKUP(E644,Settings!$F$2:$F$38,Settings!$E$2:$E$38,""),""))</f>
        <v/>
      </c>
    </row>
    <row r="645">
      <c r="F645">
        <f>IF(E645="","",IFERROR(_xlfn.XLOOKUP(E645,Settings!$F$2:$F$38,Settings!$E$2:$E$38,""),""))</f>
        <v/>
      </c>
    </row>
    <row r="646">
      <c r="F646">
        <f>IF(E646="","",IFERROR(_xlfn.XLOOKUP(E646,Settings!$F$2:$F$38,Settings!$E$2:$E$38,""),""))</f>
        <v/>
      </c>
    </row>
    <row r="647">
      <c r="F647">
        <f>IF(E647="","",IFERROR(_xlfn.XLOOKUP(E647,Settings!$F$2:$F$38,Settings!$E$2:$E$38,""),""))</f>
        <v/>
      </c>
    </row>
    <row r="648">
      <c r="F648">
        <f>IF(E648="","",IFERROR(_xlfn.XLOOKUP(E648,Settings!$F$2:$F$38,Settings!$E$2:$E$38,""),""))</f>
        <v/>
      </c>
    </row>
    <row r="649">
      <c r="F649">
        <f>IF(E649="","",IFERROR(_xlfn.XLOOKUP(E649,Settings!$F$2:$F$38,Settings!$E$2:$E$38,""),""))</f>
        <v/>
      </c>
    </row>
    <row r="650">
      <c r="F650">
        <f>IF(E650="","",IFERROR(_xlfn.XLOOKUP(E650,Settings!$F$2:$F$38,Settings!$E$2:$E$38,""),""))</f>
        <v/>
      </c>
    </row>
    <row r="651">
      <c r="F651">
        <f>IF(E651="","",IFERROR(_xlfn.XLOOKUP(E651,Settings!$F$2:$F$38,Settings!$E$2:$E$38,""),""))</f>
        <v/>
      </c>
    </row>
    <row r="652">
      <c r="F652">
        <f>IF(E652="","",IFERROR(_xlfn.XLOOKUP(E652,Settings!$F$2:$F$38,Settings!$E$2:$E$38,""),""))</f>
        <v/>
      </c>
    </row>
    <row r="653">
      <c r="F653">
        <f>IF(E653="","",IFERROR(_xlfn.XLOOKUP(E653,Settings!$F$2:$F$38,Settings!$E$2:$E$38,""),""))</f>
        <v/>
      </c>
    </row>
    <row r="654">
      <c r="F654">
        <f>IF(E654="","",IFERROR(_xlfn.XLOOKUP(E654,Settings!$F$2:$F$38,Settings!$E$2:$E$38,""),""))</f>
        <v/>
      </c>
    </row>
    <row r="655">
      <c r="F655">
        <f>IF(E655="","",IFERROR(_xlfn.XLOOKUP(E655,Settings!$F$2:$F$38,Settings!$E$2:$E$38,""),""))</f>
        <v/>
      </c>
    </row>
    <row r="656">
      <c r="F656">
        <f>IF(E656="","",IFERROR(_xlfn.XLOOKUP(E656,Settings!$F$2:$F$38,Settings!$E$2:$E$38,""),""))</f>
        <v/>
      </c>
    </row>
    <row r="657">
      <c r="F657">
        <f>IF(E657="","",IFERROR(_xlfn.XLOOKUP(E657,Settings!$F$2:$F$38,Settings!$E$2:$E$38,""),""))</f>
        <v/>
      </c>
    </row>
    <row r="658">
      <c r="F658">
        <f>IF(E658="","",IFERROR(_xlfn.XLOOKUP(E658,Settings!$F$2:$F$38,Settings!$E$2:$E$38,""),""))</f>
        <v/>
      </c>
    </row>
    <row r="659">
      <c r="F659">
        <f>IF(E659="","",IFERROR(_xlfn.XLOOKUP(E659,Settings!$F$2:$F$38,Settings!$E$2:$E$38,""),""))</f>
        <v/>
      </c>
    </row>
    <row r="660">
      <c r="F660">
        <f>IF(E660="","",IFERROR(_xlfn.XLOOKUP(E660,Settings!$F$2:$F$38,Settings!$E$2:$E$38,""),""))</f>
        <v/>
      </c>
    </row>
    <row r="661">
      <c r="F661">
        <f>IF(E661="","",IFERROR(_xlfn.XLOOKUP(E661,Settings!$F$2:$F$38,Settings!$E$2:$E$38,""),""))</f>
        <v/>
      </c>
    </row>
    <row r="662">
      <c r="F662">
        <f>IF(E662="","",IFERROR(_xlfn.XLOOKUP(E662,Settings!$F$2:$F$38,Settings!$E$2:$E$38,""),""))</f>
        <v/>
      </c>
    </row>
    <row r="663">
      <c r="F663">
        <f>IF(E663="","",IFERROR(_xlfn.XLOOKUP(E663,Settings!$F$2:$F$38,Settings!$E$2:$E$38,""),""))</f>
        <v/>
      </c>
    </row>
    <row r="664">
      <c r="F664">
        <f>IF(E664="","",IFERROR(_xlfn.XLOOKUP(E664,Settings!$F$2:$F$38,Settings!$E$2:$E$38,""),""))</f>
        <v/>
      </c>
    </row>
    <row r="665">
      <c r="F665">
        <f>IF(E665="","",IFERROR(_xlfn.XLOOKUP(E665,Settings!$F$2:$F$38,Settings!$E$2:$E$38,""),""))</f>
        <v/>
      </c>
    </row>
    <row r="666">
      <c r="F666">
        <f>IF(E666="","",IFERROR(_xlfn.XLOOKUP(E666,Settings!$F$2:$F$38,Settings!$E$2:$E$38,""),""))</f>
        <v/>
      </c>
    </row>
    <row r="667">
      <c r="F667">
        <f>IF(E667="","",IFERROR(_xlfn.XLOOKUP(E667,Settings!$F$2:$F$38,Settings!$E$2:$E$38,""),""))</f>
        <v/>
      </c>
    </row>
    <row r="668">
      <c r="F668">
        <f>IF(E668="","",IFERROR(_xlfn.XLOOKUP(E668,Settings!$F$2:$F$38,Settings!$E$2:$E$38,""),""))</f>
        <v/>
      </c>
    </row>
    <row r="669">
      <c r="F669">
        <f>IF(E669="","",IFERROR(_xlfn.XLOOKUP(E669,Settings!$F$2:$F$38,Settings!$E$2:$E$38,""),""))</f>
        <v/>
      </c>
    </row>
    <row r="670">
      <c r="F670">
        <f>IF(E670="","",IFERROR(_xlfn.XLOOKUP(E670,Settings!$F$2:$F$38,Settings!$E$2:$E$38,""),""))</f>
        <v/>
      </c>
    </row>
    <row r="671">
      <c r="F671">
        <f>IF(E671="","",IFERROR(_xlfn.XLOOKUP(E671,Settings!$F$2:$F$38,Settings!$E$2:$E$38,""),""))</f>
        <v/>
      </c>
    </row>
    <row r="672">
      <c r="F672">
        <f>IF(E672="","",IFERROR(_xlfn.XLOOKUP(E672,Settings!$F$2:$F$38,Settings!$E$2:$E$38,""),""))</f>
        <v/>
      </c>
    </row>
    <row r="673">
      <c r="F673">
        <f>IF(E673="","",IFERROR(_xlfn.XLOOKUP(E673,Settings!$F$2:$F$38,Settings!$E$2:$E$38,""),""))</f>
        <v/>
      </c>
    </row>
    <row r="674">
      <c r="F674">
        <f>IF(E674="","",IFERROR(_xlfn.XLOOKUP(E674,Settings!$F$2:$F$38,Settings!$E$2:$E$38,""),""))</f>
        <v/>
      </c>
    </row>
    <row r="675">
      <c r="F675">
        <f>IF(E675="","",IFERROR(_xlfn.XLOOKUP(E675,Settings!$F$2:$F$38,Settings!$E$2:$E$38,""),""))</f>
        <v/>
      </c>
    </row>
    <row r="676">
      <c r="F676">
        <f>IF(E676="","",IFERROR(_xlfn.XLOOKUP(E676,Settings!$F$2:$F$38,Settings!$E$2:$E$38,""),""))</f>
        <v/>
      </c>
    </row>
    <row r="677">
      <c r="F677">
        <f>IF(E677="","",IFERROR(_xlfn.XLOOKUP(E677,Settings!$F$2:$F$38,Settings!$E$2:$E$38,""),""))</f>
        <v/>
      </c>
    </row>
    <row r="678">
      <c r="F678">
        <f>IF(E678="","",IFERROR(_xlfn.XLOOKUP(E678,Settings!$F$2:$F$38,Settings!$E$2:$E$38,""),""))</f>
        <v/>
      </c>
    </row>
    <row r="679">
      <c r="F679">
        <f>IF(E679="","",IFERROR(_xlfn.XLOOKUP(E679,Settings!$F$2:$F$38,Settings!$E$2:$E$38,""),""))</f>
        <v/>
      </c>
    </row>
    <row r="680">
      <c r="F680">
        <f>IF(E680="","",IFERROR(_xlfn.XLOOKUP(E680,Settings!$F$2:$F$38,Settings!$E$2:$E$38,""),""))</f>
        <v/>
      </c>
    </row>
    <row r="681">
      <c r="F681">
        <f>IF(E681="","",IFERROR(_xlfn.XLOOKUP(E681,Settings!$F$2:$F$38,Settings!$E$2:$E$38,""),""))</f>
        <v/>
      </c>
    </row>
    <row r="682">
      <c r="F682">
        <f>IF(E682="","",IFERROR(_xlfn.XLOOKUP(E682,Settings!$F$2:$F$38,Settings!$E$2:$E$38,""),""))</f>
        <v/>
      </c>
    </row>
    <row r="683">
      <c r="F683">
        <f>IF(E683="","",IFERROR(_xlfn.XLOOKUP(E683,Settings!$F$2:$F$38,Settings!$E$2:$E$38,""),""))</f>
        <v/>
      </c>
    </row>
    <row r="684">
      <c r="F684">
        <f>IF(E684="","",IFERROR(_xlfn.XLOOKUP(E684,Settings!$F$2:$F$38,Settings!$E$2:$E$38,""),""))</f>
        <v/>
      </c>
    </row>
    <row r="685">
      <c r="F685">
        <f>IF(E685="","",IFERROR(_xlfn.XLOOKUP(E685,Settings!$F$2:$F$38,Settings!$E$2:$E$38,""),""))</f>
        <v/>
      </c>
    </row>
    <row r="686">
      <c r="F686">
        <f>IF(E686="","",IFERROR(_xlfn.XLOOKUP(E686,Settings!$F$2:$F$38,Settings!$E$2:$E$38,""),""))</f>
        <v/>
      </c>
    </row>
    <row r="687">
      <c r="F687">
        <f>IF(E687="","",IFERROR(_xlfn.XLOOKUP(E687,Settings!$F$2:$F$38,Settings!$E$2:$E$38,""),""))</f>
        <v/>
      </c>
    </row>
    <row r="688">
      <c r="F688">
        <f>IF(E688="","",IFERROR(_xlfn.XLOOKUP(E688,Settings!$F$2:$F$38,Settings!$E$2:$E$38,""),""))</f>
        <v/>
      </c>
    </row>
    <row r="689">
      <c r="F689">
        <f>IF(E689="","",IFERROR(_xlfn.XLOOKUP(E689,Settings!$F$2:$F$38,Settings!$E$2:$E$38,""),""))</f>
        <v/>
      </c>
    </row>
    <row r="690">
      <c r="F690">
        <f>IF(E690="","",IFERROR(_xlfn.XLOOKUP(E690,Settings!$F$2:$F$38,Settings!$E$2:$E$38,""),""))</f>
        <v/>
      </c>
    </row>
    <row r="691">
      <c r="F691">
        <f>IF(E691="","",IFERROR(_xlfn.XLOOKUP(E691,Settings!$F$2:$F$38,Settings!$E$2:$E$38,""),""))</f>
        <v/>
      </c>
    </row>
    <row r="692">
      <c r="F692">
        <f>IF(E692="","",IFERROR(_xlfn.XLOOKUP(E692,Settings!$F$2:$F$38,Settings!$E$2:$E$38,""),""))</f>
        <v/>
      </c>
    </row>
    <row r="693">
      <c r="F693">
        <f>IF(E693="","",IFERROR(_xlfn.XLOOKUP(E693,Settings!$F$2:$F$38,Settings!$E$2:$E$38,""),""))</f>
        <v/>
      </c>
    </row>
    <row r="694">
      <c r="F694">
        <f>IF(E694="","",IFERROR(_xlfn.XLOOKUP(E694,Settings!$F$2:$F$38,Settings!$E$2:$E$38,""),""))</f>
        <v/>
      </c>
    </row>
    <row r="695">
      <c r="F695">
        <f>IF(E695="","",IFERROR(_xlfn.XLOOKUP(E695,Settings!$F$2:$F$38,Settings!$E$2:$E$38,""),""))</f>
        <v/>
      </c>
    </row>
    <row r="696">
      <c r="F696">
        <f>IF(E696="","",IFERROR(_xlfn.XLOOKUP(E696,Settings!$F$2:$F$38,Settings!$E$2:$E$38,""),""))</f>
        <v/>
      </c>
    </row>
    <row r="697">
      <c r="F697">
        <f>IF(E697="","",IFERROR(_xlfn.XLOOKUP(E697,Settings!$F$2:$F$38,Settings!$E$2:$E$38,""),""))</f>
        <v/>
      </c>
    </row>
    <row r="698">
      <c r="F698">
        <f>IF(E698="","",IFERROR(_xlfn.XLOOKUP(E698,Settings!$F$2:$F$38,Settings!$E$2:$E$38,""),""))</f>
        <v/>
      </c>
    </row>
    <row r="699">
      <c r="F699">
        <f>IF(E699="","",IFERROR(_xlfn.XLOOKUP(E699,Settings!$F$2:$F$38,Settings!$E$2:$E$38,""),""))</f>
        <v/>
      </c>
    </row>
    <row r="700">
      <c r="F700">
        <f>IF(E700="","",IFERROR(_xlfn.XLOOKUP(E700,Settings!$F$2:$F$38,Settings!$E$2:$E$38,""),""))</f>
        <v/>
      </c>
    </row>
    <row r="701">
      <c r="F701">
        <f>IF(E701="","",IFERROR(_xlfn.XLOOKUP(E701,Settings!$F$2:$F$38,Settings!$E$2:$E$38,""),""))</f>
        <v/>
      </c>
    </row>
    <row r="702">
      <c r="F702">
        <f>IF(E702="","",IFERROR(_xlfn.XLOOKUP(E702,Settings!$F$2:$F$38,Settings!$E$2:$E$38,""),""))</f>
        <v/>
      </c>
    </row>
    <row r="703">
      <c r="F703">
        <f>IF(E703="","",IFERROR(_xlfn.XLOOKUP(E703,Settings!$F$2:$F$38,Settings!$E$2:$E$38,""),""))</f>
        <v/>
      </c>
    </row>
    <row r="704">
      <c r="F704">
        <f>IF(E704="","",IFERROR(_xlfn.XLOOKUP(E704,Settings!$F$2:$F$38,Settings!$E$2:$E$38,""),""))</f>
        <v/>
      </c>
    </row>
    <row r="705">
      <c r="F705">
        <f>IF(E705="","",IFERROR(_xlfn.XLOOKUP(E705,Settings!$F$2:$F$38,Settings!$E$2:$E$38,""),""))</f>
        <v/>
      </c>
    </row>
    <row r="706">
      <c r="F706">
        <f>IF(E706="","",IFERROR(_xlfn.XLOOKUP(E706,Settings!$F$2:$F$38,Settings!$E$2:$E$38,""),""))</f>
        <v/>
      </c>
    </row>
    <row r="707">
      <c r="F707">
        <f>IF(E707="","",IFERROR(_xlfn.XLOOKUP(E707,Settings!$F$2:$F$38,Settings!$E$2:$E$38,""),""))</f>
        <v/>
      </c>
    </row>
    <row r="708">
      <c r="F708">
        <f>IF(E708="","",IFERROR(_xlfn.XLOOKUP(E708,Settings!$F$2:$F$38,Settings!$E$2:$E$38,""),""))</f>
        <v/>
      </c>
    </row>
    <row r="709">
      <c r="F709">
        <f>IF(E709="","",IFERROR(_xlfn.XLOOKUP(E709,Settings!$F$2:$F$38,Settings!$E$2:$E$38,""),""))</f>
        <v/>
      </c>
    </row>
    <row r="710">
      <c r="F710">
        <f>IF(E710="","",IFERROR(_xlfn.XLOOKUP(E710,Settings!$F$2:$F$38,Settings!$E$2:$E$38,""),""))</f>
        <v/>
      </c>
    </row>
    <row r="711">
      <c r="F711">
        <f>IF(E711="","",IFERROR(_xlfn.XLOOKUP(E711,Settings!$F$2:$F$38,Settings!$E$2:$E$38,""),""))</f>
        <v/>
      </c>
    </row>
    <row r="712">
      <c r="F712">
        <f>IF(E712="","",IFERROR(_xlfn.XLOOKUP(E712,Settings!$F$2:$F$38,Settings!$E$2:$E$38,""),""))</f>
        <v/>
      </c>
    </row>
    <row r="713">
      <c r="F713">
        <f>IF(E713="","",IFERROR(_xlfn.XLOOKUP(E713,Settings!$F$2:$F$38,Settings!$E$2:$E$38,""),""))</f>
        <v/>
      </c>
    </row>
    <row r="714">
      <c r="F714">
        <f>IF(E714="","",IFERROR(_xlfn.XLOOKUP(E714,Settings!$F$2:$F$38,Settings!$E$2:$E$38,""),""))</f>
        <v/>
      </c>
    </row>
    <row r="715">
      <c r="F715">
        <f>IF(E715="","",IFERROR(_xlfn.XLOOKUP(E715,Settings!$F$2:$F$38,Settings!$E$2:$E$38,""),""))</f>
        <v/>
      </c>
    </row>
    <row r="716">
      <c r="F716">
        <f>IF(E716="","",IFERROR(_xlfn.XLOOKUP(E716,Settings!$F$2:$F$38,Settings!$E$2:$E$38,""),""))</f>
        <v/>
      </c>
    </row>
    <row r="717">
      <c r="F717">
        <f>IF(E717="","",IFERROR(_xlfn.XLOOKUP(E717,Settings!$F$2:$F$38,Settings!$E$2:$E$38,""),""))</f>
        <v/>
      </c>
    </row>
    <row r="718">
      <c r="F718">
        <f>IF(E718="","",IFERROR(_xlfn.XLOOKUP(E718,Settings!$F$2:$F$38,Settings!$E$2:$E$38,""),""))</f>
        <v/>
      </c>
    </row>
    <row r="719">
      <c r="F719">
        <f>IF(E719="","",IFERROR(_xlfn.XLOOKUP(E719,Settings!$F$2:$F$38,Settings!$E$2:$E$38,""),""))</f>
        <v/>
      </c>
    </row>
    <row r="720">
      <c r="F720">
        <f>IF(E720="","",IFERROR(_xlfn.XLOOKUP(E720,Settings!$F$2:$F$38,Settings!$E$2:$E$38,""),""))</f>
        <v/>
      </c>
    </row>
    <row r="721">
      <c r="F721">
        <f>IF(E721="","",IFERROR(_xlfn.XLOOKUP(E721,Settings!$F$2:$F$38,Settings!$E$2:$E$38,""),""))</f>
        <v/>
      </c>
    </row>
    <row r="722">
      <c r="F722">
        <f>IF(E722="","",IFERROR(_xlfn.XLOOKUP(E722,Settings!$F$2:$F$38,Settings!$E$2:$E$38,""),""))</f>
        <v/>
      </c>
    </row>
    <row r="723">
      <c r="F723">
        <f>IF(E723="","",IFERROR(_xlfn.XLOOKUP(E723,Settings!$F$2:$F$38,Settings!$E$2:$E$38,""),""))</f>
        <v/>
      </c>
    </row>
    <row r="724">
      <c r="F724">
        <f>IF(E724="","",IFERROR(_xlfn.XLOOKUP(E724,Settings!$F$2:$F$38,Settings!$E$2:$E$38,""),""))</f>
        <v/>
      </c>
    </row>
    <row r="725">
      <c r="F725">
        <f>IF(E725="","",IFERROR(_xlfn.XLOOKUP(E725,Settings!$F$2:$F$38,Settings!$E$2:$E$38,""),""))</f>
        <v/>
      </c>
    </row>
    <row r="726">
      <c r="F726">
        <f>IF(E726="","",IFERROR(_xlfn.XLOOKUP(E726,Settings!$F$2:$F$38,Settings!$E$2:$E$38,""),""))</f>
        <v/>
      </c>
    </row>
    <row r="727">
      <c r="F727">
        <f>IF(E727="","",IFERROR(_xlfn.XLOOKUP(E727,Settings!$F$2:$F$38,Settings!$E$2:$E$38,""),""))</f>
        <v/>
      </c>
    </row>
    <row r="728">
      <c r="F728">
        <f>IF(E728="","",IFERROR(_xlfn.XLOOKUP(E728,Settings!$F$2:$F$38,Settings!$E$2:$E$38,""),""))</f>
        <v/>
      </c>
    </row>
    <row r="729">
      <c r="F729">
        <f>IF(E729="","",IFERROR(_xlfn.XLOOKUP(E729,Settings!$F$2:$F$38,Settings!$E$2:$E$38,""),""))</f>
        <v/>
      </c>
    </row>
    <row r="730">
      <c r="F730">
        <f>IF(E730="","",IFERROR(_xlfn.XLOOKUP(E730,Settings!$F$2:$F$38,Settings!$E$2:$E$38,""),""))</f>
        <v/>
      </c>
    </row>
    <row r="731">
      <c r="F731">
        <f>IF(E731="","",IFERROR(_xlfn.XLOOKUP(E731,Settings!$F$2:$F$38,Settings!$E$2:$E$38,""),""))</f>
        <v/>
      </c>
    </row>
    <row r="732">
      <c r="F732">
        <f>IF(E732="","",IFERROR(_xlfn.XLOOKUP(E732,Settings!$F$2:$F$38,Settings!$E$2:$E$38,""),""))</f>
        <v/>
      </c>
    </row>
    <row r="733">
      <c r="F733">
        <f>IF(E733="","",IFERROR(_xlfn.XLOOKUP(E733,Settings!$F$2:$F$38,Settings!$E$2:$E$38,""),""))</f>
        <v/>
      </c>
    </row>
    <row r="734">
      <c r="F734">
        <f>IF(E734="","",IFERROR(_xlfn.XLOOKUP(E734,Settings!$F$2:$F$38,Settings!$E$2:$E$38,""),""))</f>
        <v/>
      </c>
    </row>
    <row r="735">
      <c r="F735">
        <f>IF(E735="","",IFERROR(_xlfn.XLOOKUP(E735,Settings!$F$2:$F$38,Settings!$E$2:$E$38,""),""))</f>
        <v/>
      </c>
    </row>
    <row r="736">
      <c r="F736">
        <f>IF(E736="","",IFERROR(_xlfn.XLOOKUP(E736,Settings!$F$2:$F$38,Settings!$E$2:$E$38,""),""))</f>
        <v/>
      </c>
    </row>
    <row r="737">
      <c r="F737">
        <f>IF(E737="","",IFERROR(_xlfn.XLOOKUP(E737,Settings!$F$2:$F$38,Settings!$E$2:$E$38,""),""))</f>
        <v/>
      </c>
    </row>
    <row r="738">
      <c r="F738">
        <f>IF(E738="","",IFERROR(_xlfn.XLOOKUP(E738,Settings!$F$2:$F$38,Settings!$E$2:$E$38,""),""))</f>
        <v/>
      </c>
    </row>
    <row r="739">
      <c r="F739">
        <f>IF(E739="","",IFERROR(_xlfn.XLOOKUP(E739,Settings!$F$2:$F$38,Settings!$E$2:$E$38,""),""))</f>
        <v/>
      </c>
    </row>
    <row r="740">
      <c r="F740">
        <f>IF(E740="","",IFERROR(_xlfn.XLOOKUP(E740,Settings!$F$2:$F$38,Settings!$E$2:$E$38,""),""))</f>
        <v/>
      </c>
    </row>
    <row r="741">
      <c r="F741">
        <f>IF(E741="","",IFERROR(_xlfn.XLOOKUP(E741,Settings!$F$2:$F$38,Settings!$E$2:$E$38,""),""))</f>
        <v/>
      </c>
    </row>
    <row r="742">
      <c r="F742">
        <f>IF(E742="","",IFERROR(_xlfn.XLOOKUP(E742,Settings!$F$2:$F$38,Settings!$E$2:$E$38,""),""))</f>
        <v/>
      </c>
    </row>
    <row r="743">
      <c r="F743">
        <f>IF(E743="","",IFERROR(_xlfn.XLOOKUP(E743,Settings!$F$2:$F$38,Settings!$E$2:$E$38,""),""))</f>
        <v/>
      </c>
    </row>
    <row r="744">
      <c r="F744">
        <f>IF(E744="","",IFERROR(_xlfn.XLOOKUP(E744,Settings!$F$2:$F$38,Settings!$E$2:$E$38,""),""))</f>
        <v/>
      </c>
    </row>
    <row r="745">
      <c r="F745">
        <f>IF(E745="","",IFERROR(_xlfn.XLOOKUP(E745,Settings!$F$2:$F$38,Settings!$E$2:$E$38,""),""))</f>
        <v/>
      </c>
    </row>
    <row r="746">
      <c r="F746">
        <f>IF(E746="","",IFERROR(_xlfn.XLOOKUP(E746,Settings!$F$2:$F$38,Settings!$E$2:$E$38,""),""))</f>
        <v/>
      </c>
    </row>
    <row r="747">
      <c r="F747">
        <f>IF(E747="","",IFERROR(_xlfn.XLOOKUP(E747,Settings!$F$2:$F$38,Settings!$E$2:$E$38,""),""))</f>
        <v/>
      </c>
    </row>
    <row r="748">
      <c r="F748">
        <f>IF(E748="","",IFERROR(_xlfn.XLOOKUP(E748,Settings!$F$2:$F$38,Settings!$E$2:$E$38,""),""))</f>
        <v/>
      </c>
    </row>
    <row r="749">
      <c r="F749">
        <f>IF(E749="","",IFERROR(_xlfn.XLOOKUP(E749,Settings!$F$2:$F$38,Settings!$E$2:$E$38,""),""))</f>
        <v/>
      </c>
    </row>
    <row r="750">
      <c r="F750">
        <f>IF(E750="","",IFERROR(_xlfn.XLOOKUP(E750,Settings!$F$2:$F$38,Settings!$E$2:$E$38,""),""))</f>
        <v/>
      </c>
    </row>
    <row r="751">
      <c r="F751">
        <f>IF(E751="","",IFERROR(_xlfn.XLOOKUP(E751,Settings!$F$2:$F$38,Settings!$E$2:$E$38,""),""))</f>
        <v/>
      </c>
    </row>
    <row r="752">
      <c r="F752">
        <f>IF(E752="","",IFERROR(_xlfn.XLOOKUP(E752,Settings!$F$2:$F$38,Settings!$E$2:$E$38,""),""))</f>
        <v/>
      </c>
    </row>
    <row r="753">
      <c r="F753">
        <f>IF(E753="","",IFERROR(_xlfn.XLOOKUP(E753,Settings!$F$2:$F$38,Settings!$E$2:$E$38,""),""))</f>
        <v/>
      </c>
    </row>
    <row r="754">
      <c r="F754">
        <f>IF(E754="","",IFERROR(_xlfn.XLOOKUP(E754,Settings!$F$2:$F$38,Settings!$E$2:$E$38,""),""))</f>
        <v/>
      </c>
    </row>
    <row r="755">
      <c r="F755">
        <f>IF(E755="","",IFERROR(_xlfn.XLOOKUP(E755,Settings!$F$2:$F$38,Settings!$E$2:$E$38,""),""))</f>
        <v/>
      </c>
    </row>
    <row r="756">
      <c r="F756">
        <f>IF(E756="","",IFERROR(_xlfn.XLOOKUP(E756,Settings!$F$2:$F$38,Settings!$E$2:$E$38,""),""))</f>
        <v/>
      </c>
    </row>
    <row r="757">
      <c r="F757">
        <f>IF(E757="","",IFERROR(_xlfn.XLOOKUP(E757,Settings!$F$2:$F$38,Settings!$E$2:$E$38,""),""))</f>
        <v/>
      </c>
    </row>
    <row r="758">
      <c r="F758">
        <f>IF(E758="","",IFERROR(_xlfn.XLOOKUP(E758,Settings!$F$2:$F$38,Settings!$E$2:$E$38,""),""))</f>
        <v/>
      </c>
    </row>
    <row r="759">
      <c r="F759">
        <f>IF(E759="","",IFERROR(_xlfn.XLOOKUP(E759,Settings!$F$2:$F$38,Settings!$E$2:$E$38,""),""))</f>
        <v/>
      </c>
    </row>
    <row r="760">
      <c r="F760">
        <f>IF(E760="","",IFERROR(_xlfn.XLOOKUP(E760,Settings!$F$2:$F$38,Settings!$E$2:$E$38,""),""))</f>
        <v/>
      </c>
    </row>
    <row r="761">
      <c r="F761">
        <f>IF(E761="","",IFERROR(_xlfn.XLOOKUP(E761,Settings!$F$2:$F$38,Settings!$E$2:$E$38,""),""))</f>
        <v/>
      </c>
    </row>
    <row r="762">
      <c r="F762">
        <f>IF(E762="","",IFERROR(_xlfn.XLOOKUP(E762,Settings!$F$2:$F$38,Settings!$E$2:$E$38,""),""))</f>
        <v/>
      </c>
    </row>
    <row r="763">
      <c r="F763">
        <f>IF(E763="","",IFERROR(_xlfn.XLOOKUP(E763,Settings!$F$2:$F$38,Settings!$E$2:$E$38,""),""))</f>
        <v/>
      </c>
    </row>
    <row r="764">
      <c r="F764">
        <f>IF(E764="","",IFERROR(_xlfn.XLOOKUP(E764,Settings!$F$2:$F$38,Settings!$E$2:$E$38,""),""))</f>
        <v/>
      </c>
    </row>
    <row r="765">
      <c r="F765">
        <f>IF(E765="","",IFERROR(_xlfn.XLOOKUP(E765,Settings!$F$2:$F$38,Settings!$E$2:$E$38,""),""))</f>
        <v/>
      </c>
    </row>
    <row r="766">
      <c r="F766">
        <f>IF(E766="","",IFERROR(_xlfn.XLOOKUP(E766,Settings!$F$2:$F$38,Settings!$E$2:$E$38,""),""))</f>
        <v/>
      </c>
    </row>
    <row r="767">
      <c r="F767">
        <f>IF(E767="","",IFERROR(_xlfn.XLOOKUP(E767,Settings!$F$2:$F$38,Settings!$E$2:$E$38,""),""))</f>
        <v/>
      </c>
    </row>
    <row r="768">
      <c r="F768">
        <f>IF(E768="","",IFERROR(_xlfn.XLOOKUP(E768,Settings!$F$2:$F$38,Settings!$E$2:$E$38,""),""))</f>
        <v/>
      </c>
    </row>
    <row r="769">
      <c r="F769">
        <f>IF(E769="","",IFERROR(_xlfn.XLOOKUP(E769,Settings!$F$2:$F$38,Settings!$E$2:$E$38,""),""))</f>
        <v/>
      </c>
    </row>
    <row r="770">
      <c r="F770">
        <f>IF(E770="","",IFERROR(_xlfn.XLOOKUP(E770,Settings!$F$2:$F$38,Settings!$E$2:$E$38,""),""))</f>
        <v/>
      </c>
    </row>
    <row r="771">
      <c r="F771">
        <f>IF(E771="","",IFERROR(_xlfn.XLOOKUP(E771,Settings!$F$2:$F$38,Settings!$E$2:$E$38,""),""))</f>
        <v/>
      </c>
    </row>
    <row r="772">
      <c r="F772">
        <f>IF(E772="","",IFERROR(_xlfn.XLOOKUP(E772,Settings!$F$2:$F$38,Settings!$E$2:$E$38,""),""))</f>
        <v/>
      </c>
    </row>
    <row r="773">
      <c r="F773">
        <f>IF(E773="","",IFERROR(_xlfn.XLOOKUP(E773,Settings!$F$2:$F$38,Settings!$E$2:$E$38,""),""))</f>
        <v/>
      </c>
    </row>
    <row r="774">
      <c r="F774">
        <f>IF(E774="","",IFERROR(_xlfn.XLOOKUP(E774,Settings!$F$2:$F$38,Settings!$E$2:$E$38,""),""))</f>
        <v/>
      </c>
    </row>
    <row r="775">
      <c r="F775">
        <f>IF(E775="","",IFERROR(_xlfn.XLOOKUP(E775,Settings!$F$2:$F$38,Settings!$E$2:$E$38,""),""))</f>
        <v/>
      </c>
    </row>
    <row r="776">
      <c r="F776">
        <f>IF(E776="","",IFERROR(_xlfn.XLOOKUP(E776,Settings!$F$2:$F$38,Settings!$E$2:$E$38,""),""))</f>
        <v/>
      </c>
    </row>
    <row r="777">
      <c r="F777">
        <f>IF(E777="","",IFERROR(_xlfn.XLOOKUP(E777,Settings!$F$2:$F$38,Settings!$E$2:$E$38,""),""))</f>
        <v/>
      </c>
    </row>
    <row r="778">
      <c r="F778">
        <f>IF(E778="","",IFERROR(_xlfn.XLOOKUP(E778,Settings!$F$2:$F$38,Settings!$E$2:$E$38,""),""))</f>
        <v/>
      </c>
    </row>
    <row r="779">
      <c r="F779">
        <f>IF(E779="","",IFERROR(_xlfn.XLOOKUP(E779,Settings!$F$2:$F$38,Settings!$E$2:$E$38,""),""))</f>
        <v/>
      </c>
    </row>
    <row r="780">
      <c r="F780">
        <f>IF(E780="","",IFERROR(_xlfn.XLOOKUP(E780,Settings!$F$2:$F$38,Settings!$E$2:$E$38,""),""))</f>
        <v/>
      </c>
    </row>
    <row r="781">
      <c r="F781">
        <f>IF(E781="","",IFERROR(_xlfn.XLOOKUP(E781,Settings!$F$2:$F$38,Settings!$E$2:$E$38,""),""))</f>
        <v/>
      </c>
    </row>
    <row r="782">
      <c r="F782">
        <f>IF(E782="","",IFERROR(_xlfn.XLOOKUP(E782,Settings!$F$2:$F$38,Settings!$E$2:$E$38,""),""))</f>
        <v/>
      </c>
    </row>
    <row r="783">
      <c r="F783">
        <f>IF(E783="","",IFERROR(_xlfn.XLOOKUP(E783,Settings!$F$2:$F$38,Settings!$E$2:$E$38,""),""))</f>
        <v/>
      </c>
    </row>
    <row r="784">
      <c r="F784">
        <f>IF(E784="","",IFERROR(_xlfn.XLOOKUP(E784,Settings!$F$2:$F$38,Settings!$E$2:$E$38,""),""))</f>
        <v/>
      </c>
    </row>
    <row r="785">
      <c r="F785">
        <f>IF(E785="","",IFERROR(_xlfn.XLOOKUP(E785,Settings!$F$2:$F$38,Settings!$E$2:$E$38,""),""))</f>
        <v/>
      </c>
    </row>
    <row r="786">
      <c r="F786">
        <f>IF(E786="","",IFERROR(_xlfn.XLOOKUP(E786,Settings!$F$2:$F$38,Settings!$E$2:$E$38,""),""))</f>
        <v/>
      </c>
    </row>
    <row r="787">
      <c r="F787">
        <f>IF(E787="","",IFERROR(_xlfn.XLOOKUP(E787,Settings!$F$2:$F$38,Settings!$E$2:$E$38,""),""))</f>
        <v/>
      </c>
    </row>
    <row r="788">
      <c r="F788">
        <f>IF(E788="","",IFERROR(_xlfn.XLOOKUP(E788,Settings!$F$2:$F$38,Settings!$E$2:$E$38,""),""))</f>
        <v/>
      </c>
    </row>
    <row r="789">
      <c r="F789">
        <f>IF(E789="","",IFERROR(_xlfn.XLOOKUP(E789,Settings!$F$2:$F$38,Settings!$E$2:$E$38,""),""))</f>
        <v/>
      </c>
    </row>
    <row r="790">
      <c r="F790">
        <f>IF(E790="","",IFERROR(_xlfn.XLOOKUP(E790,Settings!$F$2:$F$38,Settings!$E$2:$E$38,""),""))</f>
        <v/>
      </c>
    </row>
    <row r="791">
      <c r="F791">
        <f>IF(E791="","",IFERROR(_xlfn.XLOOKUP(E791,Settings!$F$2:$F$38,Settings!$E$2:$E$38,""),""))</f>
        <v/>
      </c>
    </row>
    <row r="792">
      <c r="F792">
        <f>IF(E792="","",IFERROR(_xlfn.XLOOKUP(E792,Settings!$F$2:$F$38,Settings!$E$2:$E$38,""),""))</f>
        <v/>
      </c>
    </row>
    <row r="793">
      <c r="F793">
        <f>IF(E793="","",IFERROR(_xlfn.XLOOKUP(E793,Settings!$F$2:$F$38,Settings!$E$2:$E$38,""),""))</f>
        <v/>
      </c>
    </row>
    <row r="794">
      <c r="F794">
        <f>IF(E794="","",IFERROR(_xlfn.XLOOKUP(E794,Settings!$F$2:$F$38,Settings!$E$2:$E$38,""),""))</f>
        <v/>
      </c>
    </row>
    <row r="795">
      <c r="F795">
        <f>IF(E795="","",IFERROR(_xlfn.XLOOKUP(E795,Settings!$F$2:$F$38,Settings!$E$2:$E$38,""),""))</f>
        <v/>
      </c>
    </row>
    <row r="796">
      <c r="F796">
        <f>IF(E796="","",IFERROR(_xlfn.XLOOKUP(E796,Settings!$F$2:$F$38,Settings!$E$2:$E$38,""),""))</f>
        <v/>
      </c>
    </row>
    <row r="797">
      <c r="F797">
        <f>IF(E797="","",IFERROR(_xlfn.XLOOKUP(E797,Settings!$F$2:$F$38,Settings!$E$2:$E$38,""),""))</f>
        <v/>
      </c>
    </row>
    <row r="798">
      <c r="F798">
        <f>IF(E798="","",IFERROR(_xlfn.XLOOKUP(E798,Settings!$F$2:$F$38,Settings!$E$2:$E$38,""),""))</f>
        <v/>
      </c>
    </row>
    <row r="799">
      <c r="F799">
        <f>IF(E799="","",IFERROR(_xlfn.XLOOKUP(E799,Settings!$F$2:$F$38,Settings!$E$2:$E$38,""),""))</f>
        <v/>
      </c>
    </row>
    <row r="800">
      <c r="F800">
        <f>IF(E800="","",IFERROR(_xlfn.XLOOKUP(E800,Settings!$F$2:$F$38,Settings!$E$2:$E$38,""),""))</f>
        <v/>
      </c>
    </row>
    <row r="801">
      <c r="F801">
        <f>IF(E801="","",IFERROR(_xlfn.XLOOKUP(E801,Settings!$F$2:$F$38,Settings!$E$2:$E$38,""),""))</f>
        <v/>
      </c>
    </row>
    <row r="802">
      <c r="F802">
        <f>IF(E802="","",IFERROR(_xlfn.XLOOKUP(E802,Settings!$F$2:$F$38,Settings!$E$2:$E$38,""),""))</f>
        <v/>
      </c>
    </row>
    <row r="803">
      <c r="F803">
        <f>IF(E803="","",IFERROR(_xlfn.XLOOKUP(E803,Settings!$F$2:$F$38,Settings!$E$2:$E$38,""),""))</f>
        <v/>
      </c>
    </row>
    <row r="804">
      <c r="F804">
        <f>IF(E804="","",IFERROR(_xlfn.XLOOKUP(E804,Settings!$F$2:$F$38,Settings!$E$2:$E$38,""),""))</f>
        <v/>
      </c>
    </row>
    <row r="805">
      <c r="F805">
        <f>IF(E805="","",IFERROR(_xlfn.XLOOKUP(E805,Settings!$F$2:$F$38,Settings!$E$2:$E$38,""),""))</f>
        <v/>
      </c>
    </row>
    <row r="806">
      <c r="F806">
        <f>IF(E806="","",IFERROR(_xlfn.XLOOKUP(E806,Settings!$F$2:$F$38,Settings!$E$2:$E$38,""),""))</f>
        <v/>
      </c>
    </row>
    <row r="807">
      <c r="F807">
        <f>IF(E807="","",IFERROR(_xlfn.XLOOKUP(E807,Settings!$F$2:$F$38,Settings!$E$2:$E$38,""),""))</f>
        <v/>
      </c>
    </row>
    <row r="808">
      <c r="F808">
        <f>IF(E808="","",IFERROR(_xlfn.XLOOKUP(E808,Settings!$F$2:$F$38,Settings!$E$2:$E$38,""),""))</f>
        <v/>
      </c>
    </row>
    <row r="809">
      <c r="F809">
        <f>IF(E809="","",IFERROR(_xlfn.XLOOKUP(E809,Settings!$F$2:$F$38,Settings!$E$2:$E$38,""),""))</f>
        <v/>
      </c>
    </row>
    <row r="810">
      <c r="F810">
        <f>IF(E810="","",IFERROR(_xlfn.XLOOKUP(E810,Settings!$F$2:$F$38,Settings!$E$2:$E$38,""),""))</f>
        <v/>
      </c>
    </row>
    <row r="811">
      <c r="F811">
        <f>IF(E811="","",IFERROR(_xlfn.XLOOKUP(E811,Settings!$F$2:$F$38,Settings!$E$2:$E$38,""),""))</f>
        <v/>
      </c>
    </row>
    <row r="812">
      <c r="F812">
        <f>IF(E812="","",IFERROR(_xlfn.XLOOKUP(E812,Settings!$F$2:$F$38,Settings!$E$2:$E$38,""),""))</f>
        <v/>
      </c>
    </row>
    <row r="813">
      <c r="F813">
        <f>IF(E813="","",IFERROR(_xlfn.XLOOKUP(E813,Settings!$F$2:$F$38,Settings!$E$2:$E$38,""),""))</f>
        <v/>
      </c>
    </row>
    <row r="814">
      <c r="F814">
        <f>IF(E814="","",IFERROR(_xlfn.XLOOKUP(E814,Settings!$F$2:$F$38,Settings!$E$2:$E$38,""),""))</f>
        <v/>
      </c>
    </row>
    <row r="815">
      <c r="F815">
        <f>IF(E815="","",IFERROR(_xlfn.XLOOKUP(E815,Settings!$F$2:$F$38,Settings!$E$2:$E$38,""),""))</f>
        <v/>
      </c>
    </row>
    <row r="816">
      <c r="F816">
        <f>IF(E816="","",IFERROR(_xlfn.XLOOKUP(E816,Settings!$F$2:$F$38,Settings!$E$2:$E$38,""),""))</f>
        <v/>
      </c>
    </row>
    <row r="817">
      <c r="F817">
        <f>IF(E817="","",IFERROR(_xlfn.XLOOKUP(E817,Settings!$F$2:$F$38,Settings!$E$2:$E$38,""),""))</f>
        <v/>
      </c>
    </row>
    <row r="818">
      <c r="F818">
        <f>IF(E818="","",IFERROR(_xlfn.XLOOKUP(E818,Settings!$F$2:$F$38,Settings!$E$2:$E$38,""),""))</f>
        <v/>
      </c>
    </row>
    <row r="819">
      <c r="F819">
        <f>IF(E819="","",IFERROR(_xlfn.XLOOKUP(E819,Settings!$F$2:$F$38,Settings!$E$2:$E$38,""),""))</f>
        <v/>
      </c>
    </row>
    <row r="820">
      <c r="F820">
        <f>IF(E820="","",IFERROR(_xlfn.XLOOKUP(E820,Settings!$F$2:$F$38,Settings!$E$2:$E$38,""),""))</f>
        <v/>
      </c>
    </row>
    <row r="821">
      <c r="F821">
        <f>IF(E821="","",IFERROR(_xlfn.XLOOKUP(E821,Settings!$F$2:$F$38,Settings!$E$2:$E$38,""),""))</f>
        <v/>
      </c>
    </row>
    <row r="822">
      <c r="F822">
        <f>IF(E822="","",IFERROR(_xlfn.XLOOKUP(E822,Settings!$F$2:$F$38,Settings!$E$2:$E$38,""),""))</f>
        <v/>
      </c>
    </row>
    <row r="823">
      <c r="F823">
        <f>IF(E823="","",IFERROR(_xlfn.XLOOKUP(E823,Settings!$F$2:$F$38,Settings!$E$2:$E$38,""),""))</f>
        <v/>
      </c>
    </row>
    <row r="824">
      <c r="F824">
        <f>IF(E824="","",IFERROR(_xlfn.XLOOKUP(E824,Settings!$F$2:$F$38,Settings!$E$2:$E$38,""),""))</f>
        <v/>
      </c>
    </row>
    <row r="825">
      <c r="F825">
        <f>IF(E825="","",IFERROR(_xlfn.XLOOKUP(E825,Settings!$F$2:$F$38,Settings!$E$2:$E$38,""),""))</f>
        <v/>
      </c>
    </row>
    <row r="826">
      <c r="F826">
        <f>IF(E826="","",IFERROR(_xlfn.XLOOKUP(E826,Settings!$F$2:$F$38,Settings!$E$2:$E$38,""),""))</f>
        <v/>
      </c>
    </row>
    <row r="827">
      <c r="F827">
        <f>IF(E827="","",IFERROR(_xlfn.XLOOKUP(E827,Settings!$F$2:$F$38,Settings!$E$2:$E$38,""),""))</f>
        <v/>
      </c>
    </row>
    <row r="828">
      <c r="F828">
        <f>IF(E828="","",IFERROR(_xlfn.XLOOKUP(E828,Settings!$F$2:$F$38,Settings!$E$2:$E$38,""),""))</f>
        <v/>
      </c>
    </row>
    <row r="829">
      <c r="F829">
        <f>IF(E829="","",IFERROR(_xlfn.XLOOKUP(E829,Settings!$F$2:$F$38,Settings!$E$2:$E$38,""),""))</f>
        <v/>
      </c>
    </row>
    <row r="830">
      <c r="F830">
        <f>IF(E830="","",IFERROR(_xlfn.XLOOKUP(E830,Settings!$F$2:$F$38,Settings!$E$2:$E$38,""),""))</f>
        <v/>
      </c>
    </row>
    <row r="831">
      <c r="F831">
        <f>IF(E831="","",IFERROR(_xlfn.XLOOKUP(E831,Settings!$F$2:$F$38,Settings!$E$2:$E$38,""),""))</f>
        <v/>
      </c>
    </row>
    <row r="832">
      <c r="F832">
        <f>IF(E832="","",IFERROR(_xlfn.XLOOKUP(E832,Settings!$F$2:$F$38,Settings!$E$2:$E$38,""),""))</f>
        <v/>
      </c>
    </row>
    <row r="833">
      <c r="F833">
        <f>IF(E833="","",IFERROR(_xlfn.XLOOKUP(E833,Settings!$F$2:$F$38,Settings!$E$2:$E$38,""),""))</f>
        <v/>
      </c>
    </row>
    <row r="834">
      <c r="F834">
        <f>IF(E834="","",IFERROR(_xlfn.XLOOKUP(E834,Settings!$F$2:$F$38,Settings!$E$2:$E$38,""),""))</f>
        <v/>
      </c>
    </row>
    <row r="835">
      <c r="F835">
        <f>IF(E835="","",IFERROR(_xlfn.XLOOKUP(E835,Settings!$F$2:$F$38,Settings!$E$2:$E$38,""),""))</f>
        <v/>
      </c>
    </row>
    <row r="836">
      <c r="F836">
        <f>IF(E836="","",IFERROR(_xlfn.XLOOKUP(E836,Settings!$F$2:$F$38,Settings!$E$2:$E$38,""),""))</f>
        <v/>
      </c>
    </row>
    <row r="837">
      <c r="F837">
        <f>IF(E837="","",IFERROR(_xlfn.XLOOKUP(E837,Settings!$F$2:$F$38,Settings!$E$2:$E$38,""),""))</f>
        <v/>
      </c>
    </row>
    <row r="838">
      <c r="F838">
        <f>IF(E838="","",IFERROR(_xlfn.XLOOKUP(E838,Settings!$F$2:$F$38,Settings!$E$2:$E$38,""),""))</f>
        <v/>
      </c>
    </row>
    <row r="839">
      <c r="F839">
        <f>IF(E839="","",IFERROR(_xlfn.XLOOKUP(E839,Settings!$F$2:$F$38,Settings!$E$2:$E$38,""),""))</f>
        <v/>
      </c>
    </row>
    <row r="840">
      <c r="F840">
        <f>IF(E840="","",IFERROR(_xlfn.XLOOKUP(E840,Settings!$F$2:$F$38,Settings!$E$2:$E$38,""),""))</f>
        <v/>
      </c>
    </row>
    <row r="841">
      <c r="F841">
        <f>IF(E841="","",IFERROR(_xlfn.XLOOKUP(E841,Settings!$F$2:$F$38,Settings!$E$2:$E$38,""),""))</f>
        <v/>
      </c>
    </row>
    <row r="842">
      <c r="F842">
        <f>IF(E842="","",IFERROR(_xlfn.XLOOKUP(E842,Settings!$F$2:$F$38,Settings!$E$2:$E$38,""),""))</f>
        <v/>
      </c>
    </row>
    <row r="843">
      <c r="F843">
        <f>IF(E843="","",IFERROR(_xlfn.XLOOKUP(E843,Settings!$F$2:$F$38,Settings!$E$2:$E$38,""),""))</f>
        <v/>
      </c>
    </row>
    <row r="844">
      <c r="F844">
        <f>IF(E844="","",IFERROR(_xlfn.XLOOKUP(E844,Settings!$F$2:$F$38,Settings!$E$2:$E$38,""),""))</f>
        <v/>
      </c>
    </row>
    <row r="845">
      <c r="F845">
        <f>IF(E845="","",IFERROR(_xlfn.XLOOKUP(E845,Settings!$F$2:$F$38,Settings!$E$2:$E$38,""),""))</f>
        <v/>
      </c>
    </row>
    <row r="846">
      <c r="F846">
        <f>IF(E846="","",IFERROR(_xlfn.XLOOKUP(E846,Settings!$F$2:$F$38,Settings!$E$2:$E$38,""),""))</f>
        <v/>
      </c>
    </row>
    <row r="847">
      <c r="F847">
        <f>IF(E847="","",IFERROR(_xlfn.XLOOKUP(E847,Settings!$F$2:$F$38,Settings!$E$2:$E$38,""),""))</f>
        <v/>
      </c>
    </row>
    <row r="848">
      <c r="F848">
        <f>IF(E848="","",IFERROR(_xlfn.XLOOKUP(E848,Settings!$F$2:$F$38,Settings!$E$2:$E$38,""),""))</f>
        <v/>
      </c>
    </row>
    <row r="849">
      <c r="F849">
        <f>IF(E849="","",IFERROR(_xlfn.XLOOKUP(E849,Settings!$F$2:$F$38,Settings!$E$2:$E$38,""),""))</f>
        <v/>
      </c>
    </row>
    <row r="850">
      <c r="F850">
        <f>IF(E850="","",IFERROR(_xlfn.XLOOKUP(E850,Settings!$F$2:$F$38,Settings!$E$2:$E$38,""),""))</f>
        <v/>
      </c>
    </row>
    <row r="851">
      <c r="F851">
        <f>IF(E851="","",IFERROR(_xlfn.XLOOKUP(E851,Settings!$F$2:$F$38,Settings!$E$2:$E$38,""),""))</f>
        <v/>
      </c>
    </row>
    <row r="852">
      <c r="F852">
        <f>IF(E852="","",IFERROR(_xlfn.XLOOKUP(E852,Settings!$F$2:$F$38,Settings!$E$2:$E$38,""),""))</f>
        <v/>
      </c>
    </row>
    <row r="853">
      <c r="F853">
        <f>IF(E853="","",IFERROR(_xlfn.XLOOKUP(E853,Settings!$F$2:$F$38,Settings!$E$2:$E$38,""),""))</f>
        <v/>
      </c>
    </row>
    <row r="854">
      <c r="F854">
        <f>IF(E854="","",IFERROR(_xlfn.XLOOKUP(E854,Settings!$F$2:$F$38,Settings!$E$2:$E$38,""),""))</f>
        <v/>
      </c>
    </row>
    <row r="855">
      <c r="F855">
        <f>IF(E855="","",IFERROR(_xlfn.XLOOKUP(E855,Settings!$F$2:$F$38,Settings!$E$2:$E$38,""),""))</f>
        <v/>
      </c>
    </row>
    <row r="856">
      <c r="F856">
        <f>IF(E856="","",IFERROR(_xlfn.XLOOKUP(E856,Settings!$F$2:$F$38,Settings!$E$2:$E$38,""),""))</f>
        <v/>
      </c>
    </row>
    <row r="857">
      <c r="F857">
        <f>IF(E857="","",IFERROR(_xlfn.XLOOKUP(E857,Settings!$F$2:$F$38,Settings!$E$2:$E$38,""),""))</f>
        <v/>
      </c>
    </row>
    <row r="858">
      <c r="F858">
        <f>IF(E858="","",IFERROR(_xlfn.XLOOKUP(E858,Settings!$F$2:$F$38,Settings!$E$2:$E$38,""),""))</f>
        <v/>
      </c>
    </row>
    <row r="859">
      <c r="F859">
        <f>IF(E859="","",IFERROR(_xlfn.XLOOKUP(E859,Settings!$F$2:$F$38,Settings!$E$2:$E$38,""),""))</f>
        <v/>
      </c>
    </row>
    <row r="860">
      <c r="F860">
        <f>IF(E860="","",IFERROR(_xlfn.XLOOKUP(E860,Settings!$F$2:$F$38,Settings!$E$2:$E$38,""),""))</f>
        <v/>
      </c>
    </row>
    <row r="861">
      <c r="F861">
        <f>IF(E861="","",IFERROR(_xlfn.XLOOKUP(E861,Settings!$F$2:$F$38,Settings!$E$2:$E$38,""),""))</f>
        <v/>
      </c>
    </row>
    <row r="862">
      <c r="F862">
        <f>IF(E862="","",IFERROR(_xlfn.XLOOKUP(E862,Settings!$F$2:$F$38,Settings!$E$2:$E$38,""),""))</f>
        <v/>
      </c>
    </row>
    <row r="863">
      <c r="F863">
        <f>IF(E863="","",IFERROR(_xlfn.XLOOKUP(E863,Settings!$F$2:$F$38,Settings!$E$2:$E$38,""),""))</f>
        <v/>
      </c>
    </row>
    <row r="864">
      <c r="F864">
        <f>IF(E864="","",IFERROR(_xlfn.XLOOKUP(E864,Settings!$F$2:$F$38,Settings!$E$2:$E$38,""),""))</f>
        <v/>
      </c>
    </row>
    <row r="865">
      <c r="F865">
        <f>IF(E865="","",IFERROR(_xlfn.XLOOKUP(E865,Settings!$F$2:$F$38,Settings!$E$2:$E$38,""),""))</f>
        <v/>
      </c>
    </row>
    <row r="866">
      <c r="F866">
        <f>IF(E866="","",IFERROR(_xlfn.XLOOKUP(E866,Settings!$F$2:$F$38,Settings!$E$2:$E$38,""),""))</f>
        <v/>
      </c>
    </row>
    <row r="867">
      <c r="F867">
        <f>IF(E867="","",IFERROR(_xlfn.XLOOKUP(E867,Settings!$F$2:$F$38,Settings!$E$2:$E$38,""),""))</f>
        <v/>
      </c>
    </row>
    <row r="868">
      <c r="F868">
        <f>IF(E868="","",IFERROR(_xlfn.XLOOKUP(E868,Settings!$F$2:$F$38,Settings!$E$2:$E$38,""),""))</f>
        <v/>
      </c>
    </row>
    <row r="869">
      <c r="F869">
        <f>IF(E869="","",IFERROR(_xlfn.XLOOKUP(E869,Settings!$F$2:$F$38,Settings!$E$2:$E$38,""),""))</f>
        <v/>
      </c>
    </row>
    <row r="870">
      <c r="F870">
        <f>IF(E870="","",IFERROR(_xlfn.XLOOKUP(E870,Settings!$F$2:$F$38,Settings!$E$2:$E$38,""),""))</f>
        <v/>
      </c>
    </row>
    <row r="871">
      <c r="F871">
        <f>IF(E871="","",IFERROR(_xlfn.XLOOKUP(E871,Settings!$F$2:$F$38,Settings!$E$2:$E$38,""),""))</f>
        <v/>
      </c>
    </row>
    <row r="872">
      <c r="F872">
        <f>IF(E872="","",IFERROR(_xlfn.XLOOKUP(E872,Settings!$F$2:$F$38,Settings!$E$2:$E$38,""),""))</f>
        <v/>
      </c>
    </row>
    <row r="873">
      <c r="F873">
        <f>IF(E873="","",IFERROR(_xlfn.XLOOKUP(E873,Settings!$F$2:$F$38,Settings!$E$2:$E$38,""),""))</f>
        <v/>
      </c>
    </row>
    <row r="874">
      <c r="F874">
        <f>IF(E874="","",IFERROR(_xlfn.XLOOKUP(E874,Settings!$F$2:$F$38,Settings!$E$2:$E$38,""),""))</f>
        <v/>
      </c>
    </row>
    <row r="875">
      <c r="F875">
        <f>IF(E875="","",IFERROR(_xlfn.XLOOKUP(E875,Settings!$F$2:$F$38,Settings!$E$2:$E$38,""),""))</f>
        <v/>
      </c>
    </row>
    <row r="876">
      <c r="F876">
        <f>IF(E876="","",IFERROR(_xlfn.XLOOKUP(E876,Settings!$F$2:$F$38,Settings!$E$2:$E$38,""),""))</f>
        <v/>
      </c>
    </row>
    <row r="877">
      <c r="F877">
        <f>IF(E877="","",IFERROR(_xlfn.XLOOKUP(E877,Settings!$F$2:$F$38,Settings!$E$2:$E$38,""),""))</f>
        <v/>
      </c>
    </row>
    <row r="878">
      <c r="F878">
        <f>IF(E878="","",IFERROR(_xlfn.XLOOKUP(E878,Settings!$F$2:$F$38,Settings!$E$2:$E$38,""),""))</f>
        <v/>
      </c>
    </row>
    <row r="879">
      <c r="F879">
        <f>IF(E879="","",IFERROR(_xlfn.XLOOKUP(E879,Settings!$F$2:$F$38,Settings!$E$2:$E$38,""),""))</f>
        <v/>
      </c>
    </row>
    <row r="880">
      <c r="F880">
        <f>IF(E880="","",IFERROR(_xlfn.XLOOKUP(E880,Settings!$F$2:$F$38,Settings!$E$2:$E$38,""),""))</f>
        <v/>
      </c>
    </row>
    <row r="881">
      <c r="F881">
        <f>IF(E881="","",IFERROR(_xlfn.XLOOKUP(E881,Settings!$F$2:$F$38,Settings!$E$2:$E$38,""),""))</f>
        <v/>
      </c>
    </row>
    <row r="882">
      <c r="F882">
        <f>IF(E882="","",IFERROR(_xlfn.XLOOKUP(E882,Settings!$F$2:$F$38,Settings!$E$2:$E$38,""),""))</f>
        <v/>
      </c>
    </row>
    <row r="883">
      <c r="F883">
        <f>IF(E883="","",IFERROR(_xlfn.XLOOKUP(E883,Settings!$F$2:$F$38,Settings!$E$2:$E$38,""),""))</f>
        <v/>
      </c>
    </row>
    <row r="884">
      <c r="F884">
        <f>IF(E884="","",IFERROR(_xlfn.XLOOKUP(E884,Settings!$F$2:$F$38,Settings!$E$2:$E$38,""),""))</f>
        <v/>
      </c>
    </row>
    <row r="885">
      <c r="F885">
        <f>IF(E885="","",IFERROR(_xlfn.XLOOKUP(E885,Settings!$F$2:$F$38,Settings!$E$2:$E$38,""),""))</f>
        <v/>
      </c>
    </row>
    <row r="886">
      <c r="F886">
        <f>IF(E886="","",IFERROR(_xlfn.XLOOKUP(E886,Settings!$F$2:$F$38,Settings!$E$2:$E$38,""),""))</f>
        <v/>
      </c>
    </row>
    <row r="887">
      <c r="F887">
        <f>IF(E887="","",IFERROR(_xlfn.XLOOKUP(E887,Settings!$F$2:$F$38,Settings!$E$2:$E$38,""),""))</f>
        <v/>
      </c>
    </row>
    <row r="888">
      <c r="F888">
        <f>IF(E888="","",IFERROR(_xlfn.XLOOKUP(E888,Settings!$F$2:$F$38,Settings!$E$2:$E$38,""),""))</f>
        <v/>
      </c>
    </row>
    <row r="889">
      <c r="F889">
        <f>IF(E889="","",IFERROR(_xlfn.XLOOKUP(E889,Settings!$F$2:$F$38,Settings!$E$2:$E$38,""),""))</f>
        <v/>
      </c>
    </row>
    <row r="890">
      <c r="F890">
        <f>IF(E890="","",IFERROR(_xlfn.XLOOKUP(E890,Settings!$F$2:$F$38,Settings!$E$2:$E$38,""),""))</f>
        <v/>
      </c>
    </row>
    <row r="891">
      <c r="F891">
        <f>IF(E891="","",IFERROR(_xlfn.XLOOKUP(E891,Settings!$F$2:$F$38,Settings!$E$2:$E$38,""),""))</f>
        <v/>
      </c>
    </row>
    <row r="892">
      <c r="F892">
        <f>IF(E892="","",IFERROR(_xlfn.XLOOKUP(E892,Settings!$F$2:$F$38,Settings!$E$2:$E$38,""),""))</f>
        <v/>
      </c>
    </row>
    <row r="893">
      <c r="F893">
        <f>IF(E893="","",IFERROR(_xlfn.XLOOKUP(E893,Settings!$F$2:$F$38,Settings!$E$2:$E$38,""),""))</f>
        <v/>
      </c>
    </row>
    <row r="894">
      <c r="F894">
        <f>IF(E894="","",IFERROR(_xlfn.XLOOKUP(E894,Settings!$F$2:$F$38,Settings!$E$2:$E$38,""),""))</f>
        <v/>
      </c>
    </row>
    <row r="895">
      <c r="F895">
        <f>IF(E895="","",IFERROR(_xlfn.XLOOKUP(E895,Settings!$F$2:$F$38,Settings!$E$2:$E$38,""),""))</f>
        <v/>
      </c>
    </row>
    <row r="896">
      <c r="F896">
        <f>IF(E896="","",IFERROR(_xlfn.XLOOKUP(E896,Settings!$F$2:$F$38,Settings!$E$2:$E$38,""),""))</f>
        <v/>
      </c>
    </row>
    <row r="897">
      <c r="F897">
        <f>IF(E897="","",IFERROR(_xlfn.XLOOKUP(E897,Settings!$F$2:$F$38,Settings!$E$2:$E$38,""),""))</f>
        <v/>
      </c>
    </row>
    <row r="898">
      <c r="F898">
        <f>IF(E898="","",IFERROR(_xlfn.XLOOKUP(E898,Settings!$F$2:$F$38,Settings!$E$2:$E$38,""),""))</f>
        <v/>
      </c>
    </row>
    <row r="899">
      <c r="F899">
        <f>IF(E899="","",IFERROR(_xlfn.XLOOKUP(E899,Settings!$F$2:$F$38,Settings!$E$2:$E$38,""),""))</f>
        <v/>
      </c>
    </row>
    <row r="900">
      <c r="F900">
        <f>IF(E900="","",IFERROR(_xlfn.XLOOKUP(E900,Settings!$F$2:$F$38,Settings!$E$2:$E$38,""),""))</f>
        <v/>
      </c>
    </row>
    <row r="901">
      <c r="F901">
        <f>IF(E901="","",IFERROR(_xlfn.XLOOKUP(E901,Settings!$F$2:$F$38,Settings!$E$2:$E$38,""),""))</f>
        <v/>
      </c>
    </row>
    <row r="902">
      <c r="F902">
        <f>IF(E902="","",IFERROR(_xlfn.XLOOKUP(E902,Settings!$F$2:$F$38,Settings!$E$2:$E$38,""),""))</f>
        <v/>
      </c>
    </row>
    <row r="903">
      <c r="F903">
        <f>IF(E903="","",IFERROR(_xlfn.XLOOKUP(E903,Settings!$F$2:$F$38,Settings!$E$2:$E$38,""),""))</f>
        <v/>
      </c>
    </row>
    <row r="904">
      <c r="F904">
        <f>IF(E904="","",IFERROR(_xlfn.XLOOKUP(E904,Settings!$F$2:$F$38,Settings!$E$2:$E$38,""),""))</f>
        <v/>
      </c>
    </row>
    <row r="905">
      <c r="F905">
        <f>IF(E905="","",IFERROR(_xlfn.XLOOKUP(E905,Settings!$F$2:$F$38,Settings!$E$2:$E$38,""),""))</f>
        <v/>
      </c>
    </row>
    <row r="906">
      <c r="F906">
        <f>IF(E906="","",IFERROR(_xlfn.XLOOKUP(E906,Settings!$F$2:$F$38,Settings!$E$2:$E$38,""),""))</f>
        <v/>
      </c>
    </row>
    <row r="907">
      <c r="F907">
        <f>IF(E907="","",IFERROR(_xlfn.XLOOKUP(E907,Settings!$F$2:$F$38,Settings!$E$2:$E$38,""),""))</f>
        <v/>
      </c>
    </row>
    <row r="908">
      <c r="F908">
        <f>IF(E908="","",IFERROR(_xlfn.XLOOKUP(E908,Settings!$F$2:$F$38,Settings!$E$2:$E$38,""),""))</f>
        <v/>
      </c>
    </row>
    <row r="909">
      <c r="F909">
        <f>IF(E909="","",IFERROR(_xlfn.XLOOKUP(E909,Settings!$F$2:$F$38,Settings!$E$2:$E$38,""),""))</f>
        <v/>
      </c>
    </row>
    <row r="910">
      <c r="F910">
        <f>IF(E910="","",IFERROR(_xlfn.XLOOKUP(E910,Settings!$F$2:$F$38,Settings!$E$2:$E$38,""),""))</f>
        <v/>
      </c>
    </row>
    <row r="911">
      <c r="F911">
        <f>IF(E911="","",IFERROR(_xlfn.XLOOKUP(E911,Settings!$F$2:$F$38,Settings!$E$2:$E$38,""),""))</f>
        <v/>
      </c>
    </row>
    <row r="912">
      <c r="F912">
        <f>IF(E912="","",IFERROR(_xlfn.XLOOKUP(E912,Settings!$F$2:$F$38,Settings!$E$2:$E$38,""),""))</f>
        <v/>
      </c>
    </row>
    <row r="913">
      <c r="F913">
        <f>IF(E913="","",IFERROR(_xlfn.XLOOKUP(E913,Settings!$F$2:$F$38,Settings!$E$2:$E$38,""),""))</f>
        <v/>
      </c>
    </row>
    <row r="914">
      <c r="F914">
        <f>IF(E914="","",IFERROR(_xlfn.XLOOKUP(E914,Settings!$F$2:$F$38,Settings!$E$2:$E$38,""),""))</f>
        <v/>
      </c>
    </row>
    <row r="915">
      <c r="F915">
        <f>IF(E915="","",IFERROR(_xlfn.XLOOKUP(E915,Settings!$F$2:$F$38,Settings!$E$2:$E$38,""),""))</f>
        <v/>
      </c>
    </row>
    <row r="916">
      <c r="F916">
        <f>IF(E916="","",IFERROR(_xlfn.XLOOKUP(E916,Settings!$F$2:$F$38,Settings!$E$2:$E$38,""),""))</f>
        <v/>
      </c>
    </row>
    <row r="917">
      <c r="F917">
        <f>IF(E917="","",IFERROR(_xlfn.XLOOKUP(E917,Settings!$F$2:$F$38,Settings!$E$2:$E$38,""),""))</f>
        <v/>
      </c>
    </row>
    <row r="918">
      <c r="F918">
        <f>IF(E918="","",IFERROR(_xlfn.XLOOKUP(E918,Settings!$F$2:$F$38,Settings!$E$2:$E$38,""),""))</f>
        <v/>
      </c>
    </row>
    <row r="919">
      <c r="F919">
        <f>IF(E919="","",IFERROR(_xlfn.XLOOKUP(E919,Settings!$F$2:$F$38,Settings!$E$2:$E$38,""),""))</f>
        <v/>
      </c>
    </row>
    <row r="920">
      <c r="F920">
        <f>IF(E920="","",IFERROR(_xlfn.XLOOKUP(E920,Settings!$F$2:$F$38,Settings!$E$2:$E$38,""),""))</f>
        <v/>
      </c>
    </row>
    <row r="921">
      <c r="F921">
        <f>IF(E921="","",IFERROR(_xlfn.XLOOKUP(E921,Settings!$F$2:$F$38,Settings!$E$2:$E$38,""),""))</f>
        <v/>
      </c>
    </row>
    <row r="922">
      <c r="F922">
        <f>IF(E922="","",IFERROR(_xlfn.XLOOKUP(E922,Settings!$F$2:$F$38,Settings!$E$2:$E$38,""),""))</f>
        <v/>
      </c>
    </row>
    <row r="923">
      <c r="F923">
        <f>IF(E923="","",IFERROR(_xlfn.XLOOKUP(E923,Settings!$F$2:$F$38,Settings!$E$2:$E$38,""),""))</f>
        <v/>
      </c>
    </row>
    <row r="924">
      <c r="F924">
        <f>IF(E924="","",IFERROR(_xlfn.XLOOKUP(E924,Settings!$F$2:$F$38,Settings!$E$2:$E$38,""),""))</f>
        <v/>
      </c>
    </row>
    <row r="925">
      <c r="F925">
        <f>IF(E925="","",IFERROR(_xlfn.XLOOKUP(E925,Settings!$F$2:$F$38,Settings!$E$2:$E$38,""),""))</f>
        <v/>
      </c>
    </row>
    <row r="926">
      <c r="F926">
        <f>IF(E926="","",IFERROR(_xlfn.XLOOKUP(E926,Settings!$F$2:$F$38,Settings!$E$2:$E$38,""),""))</f>
        <v/>
      </c>
    </row>
    <row r="927">
      <c r="F927">
        <f>IF(E927="","",IFERROR(_xlfn.XLOOKUP(E927,Settings!$F$2:$F$38,Settings!$E$2:$E$38,""),""))</f>
        <v/>
      </c>
    </row>
    <row r="928">
      <c r="F928">
        <f>IF(E928="","",IFERROR(_xlfn.XLOOKUP(E928,Settings!$F$2:$F$38,Settings!$E$2:$E$38,""),""))</f>
        <v/>
      </c>
    </row>
    <row r="929">
      <c r="F929">
        <f>IF(E929="","",IFERROR(_xlfn.XLOOKUP(E929,Settings!$F$2:$F$38,Settings!$E$2:$E$38,""),""))</f>
        <v/>
      </c>
    </row>
    <row r="930">
      <c r="F930">
        <f>IF(E930="","",IFERROR(_xlfn.XLOOKUP(E930,Settings!$F$2:$F$38,Settings!$E$2:$E$38,""),""))</f>
        <v/>
      </c>
    </row>
    <row r="931">
      <c r="F931">
        <f>IF(E931="","",IFERROR(_xlfn.XLOOKUP(E931,Settings!$F$2:$F$38,Settings!$E$2:$E$38,""),""))</f>
        <v/>
      </c>
    </row>
    <row r="932">
      <c r="F932">
        <f>IF(E932="","",IFERROR(_xlfn.XLOOKUP(E932,Settings!$F$2:$F$38,Settings!$E$2:$E$38,""),""))</f>
        <v/>
      </c>
    </row>
    <row r="933">
      <c r="F933">
        <f>IF(E933="","",IFERROR(_xlfn.XLOOKUP(E933,Settings!$F$2:$F$38,Settings!$E$2:$E$38,""),""))</f>
        <v/>
      </c>
    </row>
    <row r="934">
      <c r="F934">
        <f>IF(E934="","",IFERROR(_xlfn.XLOOKUP(E934,Settings!$F$2:$F$38,Settings!$E$2:$E$38,""),""))</f>
        <v/>
      </c>
    </row>
    <row r="935">
      <c r="F935">
        <f>IF(E935="","",IFERROR(_xlfn.XLOOKUP(E935,Settings!$F$2:$F$38,Settings!$E$2:$E$38,""),""))</f>
        <v/>
      </c>
    </row>
    <row r="936">
      <c r="F936">
        <f>IF(E936="","",IFERROR(_xlfn.XLOOKUP(E936,Settings!$F$2:$F$38,Settings!$E$2:$E$38,""),""))</f>
        <v/>
      </c>
    </row>
    <row r="937">
      <c r="F937">
        <f>IF(E937="","",IFERROR(_xlfn.XLOOKUP(E937,Settings!$F$2:$F$38,Settings!$E$2:$E$38,""),""))</f>
        <v/>
      </c>
    </row>
    <row r="938">
      <c r="F938">
        <f>IF(E938="","",IFERROR(_xlfn.XLOOKUP(E938,Settings!$F$2:$F$38,Settings!$E$2:$E$38,""),""))</f>
        <v/>
      </c>
    </row>
    <row r="939">
      <c r="F939">
        <f>IF(E939="","",IFERROR(_xlfn.XLOOKUP(E939,Settings!$F$2:$F$38,Settings!$E$2:$E$38,""),""))</f>
        <v/>
      </c>
    </row>
    <row r="940">
      <c r="F940">
        <f>IF(E940="","",IFERROR(_xlfn.XLOOKUP(E940,Settings!$F$2:$F$38,Settings!$E$2:$E$38,""),""))</f>
        <v/>
      </c>
    </row>
    <row r="941">
      <c r="F941">
        <f>IF(E941="","",IFERROR(_xlfn.XLOOKUP(E941,Settings!$F$2:$F$38,Settings!$E$2:$E$38,""),""))</f>
        <v/>
      </c>
    </row>
    <row r="942">
      <c r="F942">
        <f>IF(E942="","",IFERROR(_xlfn.XLOOKUP(E942,Settings!$F$2:$F$38,Settings!$E$2:$E$38,""),""))</f>
        <v/>
      </c>
    </row>
    <row r="943">
      <c r="F943">
        <f>IF(E943="","",IFERROR(_xlfn.XLOOKUP(E943,Settings!$F$2:$F$38,Settings!$E$2:$E$38,""),""))</f>
        <v/>
      </c>
    </row>
    <row r="944">
      <c r="F944">
        <f>IF(E944="","",IFERROR(_xlfn.XLOOKUP(E944,Settings!$F$2:$F$38,Settings!$E$2:$E$38,""),""))</f>
        <v/>
      </c>
    </row>
    <row r="945">
      <c r="F945">
        <f>IF(E945="","",IFERROR(_xlfn.XLOOKUP(E945,Settings!$F$2:$F$38,Settings!$E$2:$E$38,""),""))</f>
        <v/>
      </c>
    </row>
    <row r="946">
      <c r="F946">
        <f>IF(E946="","",IFERROR(_xlfn.XLOOKUP(E946,Settings!$F$2:$F$38,Settings!$E$2:$E$38,""),""))</f>
        <v/>
      </c>
    </row>
    <row r="947">
      <c r="F947">
        <f>IF(E947="","",IFERROR(_xlfn.XLOOKUP(E947,Settings!$F$2:$F$38,Settings!$E$2:$E$38,""),""))</f>
        <v/>
      </c>
    </row>
    <row r="948">
      <c r="F948">
        <f>IF(E948="","",IFERROR(_xlfn.XLOOKUP(E948,Settings!$F$2:$F$38,Settings!$E$2:$E$38,""),""))</f>
        <v/>
      </c>
    </row>
    <row r="949">
      <c r="F949">
        <f>IF(E949="","",IFERROR(_xlfn.XLOOKUP(E949,Settings!$F$2:$F$38,Settings!$E$2:$E$38,""),""))</f>
        <v/>
      </c>
    </row>
    <row r="950">
      <c r="F950">
        <f>IF(E950="","",IFERROR(_xlfn.XLOOKUP(E950,Settings!$F$2:$F$38,Settings!$E$2:$E$38,""),""))</f>
        <v/>
      </c>
    </row>
    <row r="951">
      <c r="F951">
        <f>IF(E951="","",IFERROR(_xlfn.XLOOKUP(E951,Settings!$F$2:$F$38,Settings!$E$2:$E$38,""),""))</f>
        <v/>
      </c>
    </row>
    <row r="952">
      <c r="F952">
        <f>IF(E952="","",IFERROR(_xlfn.XLOOKUP(E952,Settings!$F$2:$F$38,Settings!$E$2:$E$38,""),""))</f>
        <v/>
      </c>
    </row>
    <row r="953">
      <c r="F953">
        <f>IF(E953="","",IFERROR(_xlfn.XLOOKUP(E953,Settings!$F$2:$F$38,Settings!$E$2:$E$38,""),""))</f>
        <v/>
      </c>
    </row>
    <row r="954">
      <c r="F954">
        <f>IF(E954="","",IFERROR(_xlfn.XLOOKUP(E954,Settings!$F$2:$F$38,Settings!$E$2:$E$38,""),""))</f>
        <v/>
      </c>
    </row>
    <row r="955">
      <c r="F955">
        <f>IF(E955="","",IFERROR(_xlfn.XLOOKUP(E955,Settings!$F$2:$F$38,Settings!$E$2:$E$38,""),""))</f>
        <v/>
      </c>
    </row>
    <row r="956">
      <c r="F956">
        <f>IF(E956="","",IFERROR(_xlfn.XLOOKUP(E956,Settings!$F$2:$F$38,Settings!$E$2:$E$38,""),""))</f>
        <v/>
      </c>
    </row>
    <row r="957">
      <c r="F957">
        <f>IF(E957="","",IFERROR(_xlfn.XLOOKUP(E957,Settings!$F$2:$F$38,Settings!$E$2:$E$38,""),""))</f>
        <v/>
      </c>
    </row>
    <row r="958">
      <c r="F958">
        <f>IF(E958="","",IFERROR(_xlfn.XLOOKUP(E958,Settings!$F$2:$F$38,Settings!$E$2:$E$38,""),""))</f>
        <v/>
      </c>
    </row>
    <row r="959">
      <c r="F959">
        <f>IF(E959="","",IFERROR(_xlfn.XLOOKUP(E959,Settings!$F$2:$F$38,Settings!$E$2:$E$38,""),""))</f>
        <v/>
      </c>
    </row>
    <row r="960">
      <c r="F960">
        <f>IF(E960="","",IFERROR(_xlfn.XLOOKUP(E960,Settings!$F$2:$F$38,Settings!$E$2:$E$38,""),""))</f>
        <v/>
      </c>
    </row>
    <row r="961">
      <c r="F961">
        <f>IF(E961="","",IFERROR(_xlfn.XLOOKUP(E961,Settings!$F$2:$F$38,Settings!$E$2:$E$38,""),""))</f>
        <v/>
      </c>
    </row>
    <row r="962">
      <c r="F962">
        <f>IF(E962="","",IFERROR(_xlfn.XLOOKUP(E962,Settings!$F$2:$F$38,Settings!$E$2:$E$38,""),""))</f>
        <v/>
      </c>
    </row>
    <row r="963">
      <c r="F963">
        <f>IF(E963="","",IFERROR(_xlfn.XLOOKUP(E963,Settings!$F$2:$F$38,Settings!$E$2:$E$38,""),""))</f>
        <v/>
      </c>
    </row>
    <row r="964">
      <c r="F964">
        <f>IF(E964="","",IFERROR(_xlfn.XLOOKUP(E964,Settings!$F$2:$F$38,Settings!$E$2:$E$38,""),""))</f>
        <v/>
      </c>
    </row>
    <row r="965">
      <c r="F965">
        <f>IF(E965="","",IFERROR(_xlfn.XLOOKUP(E965,Settings!$F$2:$F$38,Settings!$E$2:$E$38,""),""))</f>
        <v/>
      </c>
    </row>
    <row r="966">
      <c r="F966">
        <f>IF(E966="","",IFERROR(_xlfn.XLOOKUP(E966,Settings!$F$2:$F$38,Settings!$E$2:$E$38,""),""))</f>
        <v/>
      </c>
    </row>
    <row r="967">
      <c r="F967">
        <f>IF(E967="","",IFERROR(_xlfn.XLOOKUP(E967,Settings!$F$2:$F$38,Settings!$E$2:$E$38,""),""))</f>
        <v/>
      </c>
    </row>
    <row r="968">
      <c r="F968">
        <f>IF(E968="","",IFERROR(_xlfn.XLOOKUP(E968,Settings!$F$2:$F$38,Settings!$E$2:$E$38,""),""))</f>
        <v/>
      </c>
    </row>
    <row r="969">
      <c r="F969">
        <f>IF(E969="","",IFERROR(_xlfn.XLOOKUP(E969,Settings!$F$2:$F$38,Settings!$E$2:$E$38,""),""))</f>
        <v/>
      </c>
    </row>
    <row r="970">
      <c r="F970">
        <f>IF(E970="","",IFERROR(_xlfn.XLOOKUP(E970,Settings!$F$2:$F$38,Settings!$E$2:$E$38,""),""))</f>
        <v/>
      </c>
    </row>
    <row r="971">
      <c r="F971">
        <f>IF(E971="","",IFERROR(_xlfn.XLOOKUP(E971,Settings!$F$2:$F$38,Settings!$E$2:$E$38,""),""))</f>
        <v/>
      </c>
    </row>
    <row r="972">
      <c r="F972">
        <f>IF(E972="","",IFERROR(_xlfn.XLOOKUP(E972,Settings!$F$2:$F$38,Settings!$E$2:$E$38,""),""))</f>
        <v/>
      </c>
    </row>
    <row r="973">
      <c r="F973">
        <f>IF(E973="","",IFERROR(_xlfn.XLOOKUP(E973,Settings!$F$2:$F$38,Settings!$E$2:$E$38,""),""))</f>
        <v/>
      </c>
    </row>
    <row r="974">
      <c r="F974">
        <f>IF(E974="","",IFERROR(_xlfn.XLOOKUP(E974,Settings!$F$2:$F$38,Settings!$E$2:$E$38,""),""))</f>
        <v/>
      </c>
    </row>
    <row r="975">
      <c r="F975">
        <f>IF(E975="","",IFERROR(_xlfn.XLOOKUP(E975,Settings!$F$2:$F$38,Settings!$E$2:$E$38,""),""))</f>
        <v/>
      </c>
    </row>
    <row r="976">
      <c r="F976">
        <f>IF(E976="","",IFERROR(_xlfn.XLOOKUP(E976,Settings!$F$2:$F$38,Settings!$E$2:$E$38,""),""))</f>
        <v/>
      </c>
    </row>
    <row r="977">
      <c r="F977">
        <f>IF(E977="","",IFERROR(_xlfn.XLOOKUP(E977,Settings!$F$2:$F$38,Settings!$E$2:$E$38,""),""))</f>
        <v/>
      </c>
    </row>
    <row r="978">
      <c r="F978">
        <f>IF(E978="","",IFERROR(_xlfn.XLOOKUP(E978,Settings!$F$2:$F$38,Settings!$E$2:$E$38,""),""))</f>
        <v/>
      </c>
    </row>
    <row r="979">
      <c r="F979">
        <f>IF(E979="","",IFERROR(_xlfn.XLOOKUP(E979,Settings!$F$2:$F$38,Settings!$E$2:$E$38,""),""))</f>
        <v/>
      </c>
    </row>
    <row r="980">
      <c r="F980">
        <f>IF(E980="","",IFERROR(_xlfn.XLOOKUP(E980,Settings!$F$2:$F$38,Settings!$E$2:$E$38,""),""))</f>
        <v/>
      </c>
    </row>
    <row r="981">
      <c r="F981">
        <f>IF(E981="","",IFERROR(_xlfn.XLOOKUP(E981,Settings!$F$2:$F$38,Settings!$E$2:$E$38,""),""))</f>
        <v/>
      </c>
    </row>
    <row r="982">
      <c r="F982">
        <f>IF(E982="","",IFERROR(_xlfn.XLOOKUP(E982,Settings!$F$2:$F$38,Settings!$E$2:$E$38,""),""))</f>
        <v/>
      </c>
    </row>
    <row r="983">
      <c r="F983">
        <f>IF(E983="","",IFERROR(_xlfn.XLOOKUP(E983,Settings!$F$2:$F$38,Settings!$E$2:$E$38,""),""))</f>
        <v/>
      </c>
    </row>
  </sheetData>
  <conditionalFormatting sqref="F2:F983">
    <cfRule type="containsText" priority="1" operator="containsText" dxfId="5" text="COGS">
      <formula>NOT(ISERROR(SEARCH("COGS",F2)))</formula>
    </cfRule>
    <cfRule type="containsText" priority="2" operator="containsText" dxfId="4" text="Operating">
      <formula>NOT(ISERROR(SEARCH("Operating",F2)))</formula>
    </cfRule>
    <cfRule type="containsText" priority="3" operator="containsText" dxfId="3" text="Payroll">
      <formula>NOT(ISERROR(SEARCH("Payroll",F2)))</formula>
    </cfRule>
    <cfRule type="containsText" priority="4" operator="containsText" dxfId="2" text="Financial">
      <formula>NOT(ISERROR(SEARCH("Financial",F2)))</formula>
    </cfRule>
    <cfRule type="containsText" priority="5" operator="containsText" dxfId="1" text="Taxes">
      <formula>NOT(ISERROR(SEARCH("Taxes",F2)))</formula>
    </cfRule>
    <cfRule type="containsText" priority="6" operator="containsText" dxfId="0" text="Non-Deductible">
      <formula>NOT(ISERROR(SEARCH("Non-Deductible",F2)))</formula>
    </cfRule>
  </conditionalFormatting>
  <dataValidations count="4">
    <dataValidation sqref="G984:G1483" showDropDown="0" showInputMessage="1" showErrorMessage="1" allowBlank="1" type="list">
      <formula1>"Cash,Check,Bank Transfer,Credit Card,ACH,Wire Transfer,PayPal,Petty Cash,Other"</formula1>
    </dataValidation>
    <dataValidation sqref="H2:H500 H502:H1483" showDropDown="0" showInputMessage="1" showErrorMessage="1" allowBlank="1" type="list">
      <formula1>"Paid,Pending,Partial,Overdue,Cancelled"</formula1>
    </dataValidation>
    <dataValidation sqref="G2:G500 G502:G983" showDropDown="0" showInputMessage="1" showErrorMessage="1" allowBlank="1" type="list">
      <formula1>"Cash,Check,ACH,Wire Transfer,Debit Card,Credit Card,PayPal,Venmo,Zelle,Cash App,Other"</formula1>
    </dataValidation>
    <dataValidation sqref="E502:E983" showDropDown="0" showInputMessage="1" showErrorMessage="1" allowBlank="1" errorTitle="Categoría no válida" error="Por favor selecciona una categoría del Chart of Accounts" type="list" errorStyle="warning">
      <formula1>"Settings!$F$2:$F$36"</formula1>
    </dataValidation>
  </dataValidations>
  <printOptions horizontalCentered="1"/>
  <pageMargins left="0.25" right="0.25" top="0.75" bottom="0.75" header="0.3" footer="0.3"/>
  <pageSetup orientation="landscape" scale="1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N38" sqref="N38:N39"/>
    </sheetView>
  </sheetViews>
  <sheetFormatPr baseColWidth="10" defaultRowHeight="15"/>
  <cols>
    <col width="38.140625" customWidth="1" style="81" min="1" max="1"/>
    <col width="16.140625" customWidth="1" style="81" min="2" max="14"/>
  </cols>
  <sheetData>
    <row r="1" ht="21" customHeight="1" s="81">
      <c r="A1" s="9" t="inlineStr">
        <is>
          <t>PROFIT &amp; LOSS STATEMENT</t>
        </is>
      </c>
    </row>
    <row r="2" ht="15.75" customHeight="1" s="81">
      <c r="A2" s="10" t="inlineStr">
        <is>
          <t>Fiscal Year 2026</t>
        </is>
      </c>
    </row>
    <row r="3">
      <c r="A3" s="8" t="n"/>
    </row>
    <row r="4">
      <c r="A4" s="85" t="inlineStr">
        <is>
          <t>Account</t>
        </is>
      </c>
      <c r="B4" s="85" t="inlineStr">
        <is>
          <t>Jan</t>
        </is>
      </c>
      <c r="C4" s="85" t="inlineStr">
        <is>
          <t>Feb</t>
        </is>
      </c>
      <c r="D4" s="85" t="inlineStr">
        <is>
          <t>Mar</t>
        </is>
      </c>
      <c r="E4" s="85" t="inlineStr">
        <is>
          <t>Apr</t>
        </is>
      </c>
      <c r="F4" s="85" t="inlineStr">
        <is>
          <t>May</t>
        </is>
      </c>
      <c r="G4" s="85" t="inlineStr">
        <is>
          <t>Jun</t>
        </is>
      </c>
      <c r="H4" s="85" t="inlineStr">
        <is>
          <t>Jul</t>
        </is>
      </c>
      <c r="I4" s="85" t="inlineStr">
        <is>
          <t>Aug</t>
        </is>
      </c>
      <c r="J4" s="85" t="inlineStr">
        <is>
          <t>Sep</t>
        </is>
      </c>
      <c r="K4" s="85" t="inlineStr">
        <is>
          <t>Oct</t>
        </is>
      </c>
      <c r="L4" s="85" t="inlineStr">
        <is>
          <t>Nov</t>
        </is>
      </c>
      <c r="M4" s="85" t="inlineStr">
        <is>
          <t>Dec</t>
        </is>
      </c>
      <c r="N4" s="85" t="inlineStr">
        <is>
          <t>YTD Total</t>
        </is>
      </c>
    </row>
    <row r="5">
      <c r="A5" s="12" t="inlineStr">
        <is>
          <t>REVENUE / INGRESOS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</row>
    <row r="6">
      <c r="A6" s="8" t="inlineStr">
        <is>
          <t>Gross receipts or sales</t>
        </is>
      </c>
      <c r="B6" s="7">
        <f>SUMIFS(TablaIngresos[Amount],TablaIngresos[Category],$A6,TablaIngresos[INCOME STATEMENT - REVENUE SECTION],"&gt;="&amp;DATE(2026,1,1),TablaIngresos[INCOME STATEMENT - REVENUE SECTION],"&lt;"&amp;DATE(2026,2,1))</f>
        <v/>
      </c>
      <c r="C6" s="7">
        <f>SUMIFS(TablaIngresos[Amount],TablaIngresos[Category],$A6,TablaIngresos[INCOME STATEMENT - REVENUE SECTION],"&gt;="&amp;DATE(2026,2,1),TablaIngresos[INCOME STATEMENT - REVENUE SECTION],"&lt;"&amp;DATE(2026,3,1))</f>
        <v/>
      </c>
      <c r="D6" s="7">
        <f>SUMIFS(TablaIngresos[Amount],TablaIngresos[Category],$A6,TablaIngresos[INCOME STATEMENT - REVENUE SECTION],"&gt;="&amp;DATE(2026,3,1),TablaIngresos[INCOME STATEMENT - REVENUE SECTION],"&lt;"&amp;DATE(2026,4,1))</f>
        <v/>
      </c>
      <c r="E6" s="7">
        <f>SUMIFS(TablaIngresos[Amount],TablaIngresos[Category],$A6,TablaIngresos[INCOME STATEMENT - REVENUE SECTION],"&gt;="&amp;DATE(2026,4,1),TablaIngresos[INCOME STATEMENT - REVENUE SECTION],"&lt;"&amp;DATE(2026,5,1))</f>
        <v/>
      </c>
      <c r="F6" s="7">
        <f>SUMIFS(TablaIngresos[Amount],TablaIngresos[Category],$A6,TablaIngresos[INCOME STATEMENT - REVENUE SECTION],"&gt;="&amp;DATE(2026,5,1),TablaIngresos[INCOME STATEMENT - REVENUE SECTION],"&lt;"&amp;DATE(2026,6,1))</f>
        <v/>
      </c>
      <c r="G6" s="7">
        <f>SUMIFS(TablaIngresos[Amount],TablaIngresos[Category],$A6,TablaIngresos[INCOME STATEMENT - REVENUE SECTION],"&gt;="&amp;DATE(2026,6,1),TablaIngresos[INCOME STATEMENT - REVENUE SECTION],"&lt;"&amp;DATE(2026,7,1))</f>
        <v/>
      </c>
      <c r="H6" s="7">
        <f>SUMIFS(TablaIngresos[Amount],TablaIngresos[Category],$A6,TablaIngresos[INCOME STATEMENT - REVENUE SECTION],"&gt;="&amp;DATE(2026,7,1),TablaIngresos[INCOME STATEMENT - REVENUE SECTION],"&lt;"&amp;DATE(2026,8,1))</f>
        <v/>
      </c>
      <c r="I6" s="7">
        <f>SUMIFS(TablaIngresos[Amount],TablaIngresos[Category],$A6,TablaIngresos[INCOME STATEMENT - REVENUE SECTION],"&gt;="&amp;DATE(2026,8,1),TablaIngresos[INCOME STATEMENT - REVENUE SECTION],"&lt;"&amp;DATE(2026,9,1))</f>
        <v/>
      </c>
      <c r="J6" s="7">
        <f>SUMIFS(TablaIngresos[Amount],TablaIngresos[Category],$A6,TablaIngresos[INCOME STATEMENT - REVENUE SECTION],"&gt;="&amp;DATE(2026,9,1),TablaIngresos[INCOME STATEMENT - REVENUE SECTION],"&lt;"&amp;DATE(2026,10,1))</f>
        <v/>
      </c>
      <c r="K6" s="7">
        <f>SUMIFS(TablaIngresos[Amount],TablaIngresos[Category],$A6,TablaIngresos[INCOME STATEMENT - REVENUE SECTION],"&gt;="&amp;DATE(2026,10,1),TablaIngresos[INCOME STATEMENT - REVENUE SECTION],"&lt;"&amp;DATE(2026,11,1))</f>
        <v/>
      </c>
      <c r="L6" s="7">
        <f>SUMIFS(TablaIngresos[Amount],TablaIngresos[Category],$A6,TablaIngresos[INCOME STATEMENT - REVENUE SECTION],"&gt;="&amp;DATE(2026,11,1),TablaIngresos[INCOME STATEMENT - REVENUE SECTION],"&lt;"&amp;DATE(2026,12,1))</f>
        <v/>
      </c>
      <c r="M6" s="7">
        <f>SUMIFS(TablaIngresos[Amount],TablaIngresos[Category],$A6,TablaIngresos[INCOME STATEMENT - REVENUE SECTION],"&gt;="&amp;DATE(2026,12,1),TablaIngresos[INCOME STATEMENT - REVENUE SECTION],"&lt;"&amp;DATE(2027,1,1))</f>
        <v/>
      </c>
      <c r="N6" s="7">
        <f>SUM(B6:M6)</f>
        <v/>
      </c>
    </row>
    <row r="7">
      <c r="A7" s="8" t="inlineStr">
        <is>
          <t>Other income</t>
        </is>
      </c>
      <c r="B7" s="7">
        <f>SUMIFS(TablaIngresos[Amount],TablaIngresos[Category],$A7,TablaIngresos[INCOME STATEMENT - REVENUE SECTION],"&gt;="&amp;DATE(2026,1,1),TablaIngresos[INCOME STATEMENT - REVENUE SECTION],"&lt;"&amp;DATE(2026,2,1))</f>
        <v/>
      </c>
      <c r="C7" s="7">
        <f>SUMIFS(TablaIngresos[Amount],TablaIngresos[Category],$A7,TablaIngresos[INCOME STATEMENT - REVENUE SECTION],"&gt;="&amp;DATE(2026,2,1),TablaIngresos[INCOME STATEMENT - REVENUE SECTION],"&lt;"&amp;DATE(2026,3,1))</f>
        <v/>
      </c>
      <c r="D7" s="7">
        <f>SUMIFS(TablaIngresos[Amount],TablaIngresos[Category],$A7,TablaIngresos[INCOME STATEMENT - REVENUE SECTION],"&gt;="&amp;DATE(2026,3,1),TablaIngresos[INCOME STATEMENT - REVENUE SECTION],"&lt;"&amp;DATE(2026,4,1))</f>
        <v/>
      </c>
      <c r="E7" s="7">
        <f>SUMIFS(TablaIngresos[Amount],TablaIngresos[Category],$A7,TablaIngresos[INCOME STATEMENT - REVENUE SECTION],"&gt;="&amp;DATE(2026,4,1),TablaIngresos[INCOME STATEMENT - REVENUE SECTION],"&lt;"&amp;DATE(2026,5,1))</f>
        <v/>
      </c>
      <c r="F7" s="7">
        <f>SUMIFS(TablaIngresos[Amount],TablaIngresos[Category],$A7,TablaIngresos[INCOME STATEMENT - REVENUE SECTION],"&gt;="&amp;DATE(2026,5,1),TablaIngresos[INCOME STATEMENT - REVENUE SECTION],"&lt;"&amp;DATE(2026,6,1))</f>
        <v/>
      </c>
      <c r="G7" s="7">
        <f>SUMIFS(TablaIngresos[Amount],TablaIngresos[Category],$A7,TablaIngresos[INCOME STATEMENT - REVENUE SECTION],"&gt;="&amp;DATE(2026,6,1),TablaIngresos[INCOME STATEMENT - REVENUE SECTION],"&lt;"&amp;DATE(2026,7,1))</f>
        <v/>
      </c>
      <c r="H7" s="7">
        <f>SUMIFS(TablaIngresos[Amount],TablaIngresos[Category],$A7,TablaIngresos[INCOME STATEMENT - REVENUE SECTION],"&gt;="&amp;DATE(2026,7,1),TablaIngresos[INCOME STATEMENT - REVENUE SECTION],"&lt;"&amp;DATE(2026,8,1))</f>
        <v/>
      </c>
      <c r="I7" s="7">
        <f>SUMIFS(TablaIngresos[Amount],TablaIngresos[Category],$A7,TablaIngresos[INCOME STATEMENT - REVENUE SECTION],"&gt;="&amp;DATE(2026,8,1),TablaIngresos[INCOME STATEMENT - REVENUE SECTION],"&lt;"&amp;DATE(2026,9,1))</f>
        <v/>
      </c>
      <c r="J7" s="7">
        <f>SUMIFS(TablaIngresos[Amount],TablaIngresos[Category],$A7,TablaIngresos[INCOME STATEMENT - REVENUE SECTION],"&gt;="&amp;DATE(2026,9,1),TablaIngresos[INCOME STATEMENT - REVENUE SECTION],"&lt;"&amp;DATE(2026,10,1))</f>
        <v/>
      </c>
      <c r="K7" s="7">
        <f>SUMIFS(TablaIngresos[Amount],TablaIngresos[Category],$A7,TablaIngresos[INCOME STATEMENT - REVENUE SECTION],"&gt;="&amp;DATE(2026,10,1),TablaIngresos[INCOME STATEMENT - REVENUE SECTION],"&lt;"&amp;DATE(2026,11,1))</f>
        <v/>
      </c>
      <c r="L7" s="7">
        <f>SUMIFS(TablaIngresos[Amount],TablaIngresos[Category],$A7,TablaIngresos[INCOME STATEMENT - REVENUE SECTION],"&gt;="&amp;DATE(2026,11,1),TablaIngresos[INCOME STATEMENT - REVENUE SECTION],"&lt;"&amp;DATE(2026,12,1))</f>
        <v/>
      </c>
      <c r="M7" s="7">
        <f>SUMIFS(TablaIngresos[Amount],TablaIngresos[Category],$A7,TablaIngresos[INCOME STATEMENT - REVENUE SECTION],"&gt;="&amp;DATE(2026,12,1),TablaIngresos[INCOME STATEMENT - REVENUE SECTION],"&lt;"&amp;DATE(2027,1,1))</f>
        <v/>
      </c>
      <c r="N7" s="7">
        <f>SUM(B7:M7)</f>
        <v/>
      </c>
    </row>
    <row r="8">
      <c r="A8" s="8" t="inlineStr">
        <is>
          <t>Interest income</t>
        </is>
      </c>
      <c r="B8" s="7">
        <f>SUMIFS(TablaIngresos[Amount],TablaIngresos[Category],$A8,TablaIngresos[INCOME STATEMENT - REVENUE SECTION],"&gt;="&amp;DATE(2026,1,1),TablaIngresos[INCOME STATEMENT - REVENUE SECTION],"&lt;"&amp;DATE(2026,2,1))</f>
        <v/>
      </c>
      <c r="C8" s="7">
        <f>SUMIFS(TablaIngresos[Amount],TablaIngresos[Category],$A8,TablaIngresos[INCOME STATEMENT - REVENUE SECTION],"&gt;="&amp;DATE(2026,2,1),TablaIngresos[INCOME STATEMENT - REVENUE SECTION],"&lt;"&amp;DATE(2026,3,1))</f>
        <v/>
      </c>
      <c r="D8" s="7">
        <f>SUMIFS(TablaIngresos[Amount],TablaIngresos[Category],$A8,TablaIngresos[INCOME STATEMENT - REVENUE SECTION],"&gt;="&amp;DATE(2026,3,1),TablaIngresos[INCOME STATEMENT - REVENUE SECTION],"&lt;"&amp;DATE(2026,4,1))</f>
        <v/>
      </c>
      <c r="E8" s="7">
        <f>SUMIFS(TablaIngresos[Amount],TablaIngresos[Category],$A8,TablaIngresos[INCOME STATEMENT - REVENUE SECTION],"&gt;="&amp;DATE(2026,4,1),TablaIngresos[INCOME STATEMENT - REVENUE SECTION],"&lt;"&amp;DATE(2026,5,1))</f>
        <v/>
      </c>
      <c r="F8" s="7">
        <f>SUMIFS(TablaIngresos[Amount],TablaIngresos[Category],$A8,TablaIngresos[INCOME STATEMENT - REVENUE SECTION],"&gt;="&amp;DATE(2026,5,1),TablaIngresos[INCOME STATEMENT - REVENUE SECTION],"&lt;"&amp;DATE(2026,6,1))</f>
        <v/>
      </c>
      <c r="G8" s="7">
        <f>SUMIFS(TablaIngresos[Amount],TablaIngresos[Category],$A8,TablaIngresos[INCOME STATEMENT - REVENUE SECTION],"&gt;="&amp;DATE(2026,6,1),TablaIngresos[INCOME STATEMENT - REVENUE SECTION],"&lt;"&amp;DATE(2026,7,1))</f>
        <v/>
      </c>
      <c r="H8" s="7">
        <f>SUMIFS(TablaIngresos[Amount],TablaIngresos[Category],$A8,TablaIngresos[INCOME STATEMENT - REVENUE SECTION],"&gt;="&amp;DATE(2026,7,1),TablaIngresos[INCOME STATEMENT - REVENUE SECTION],"&lt;"&amp;DATE(2026,8,1))</f>
        <v/>
      </c>
      <c r="I8" s="7">
        <f>SUMIFS(TablaIngresos[Amount],TablaIngresos[Category],$A8,TablaIngresos[INCOME STATEMENT - REVENUE SECTION],"&gt;="&amp;DATE(2026,8,1),TablaIngresos[INCOME STATEMENT - REVENUE SECTION],"&lt;"&amp;DATE(2026,9,1))</f>
        <v/>
      </c>
      <c r="J8" s="7">
        <f>SUMIFS(TablaIngresos[Amount],TablaIngresos[Category],$A8,TablaIngresos[INCOME STATEMENT - REVENUE SECTION],"&gt;="&amp;DATE(2026,9,1),TablaIngresos[INCOME STATEMENT - REVENUE SECTION],"&lt;"&amp;DATE(2026,10,1))</f>
        <v/>
      </c>
      <c r="K8" s="7">
        <f>SUMIFS(TablaIngresos[Amount],TablaIngresos[Category],$A8,TablaIngresos[INCOME STATEMENT - REVENUE SECTION],"&gt;="&amp;DATE(2026,10,1),TablaIngresos[INCOME STATEMENT - REVENUE SECTION],"&lt;"&amp;DATE(2026,11,1))</f>
        <v/>
      </c>
      <c r="L8" s="7">
        <f>SUMIFS(TablaIngresos[Amount],TablaIngresos[Category],$A8,TablaIngresos[INCOME STATEMENT - REVENUE SECTION],"&gt;="&amp;DATE(2026,11,1),TablaIngresos[INCOME STATEMENT - REVENUE SECTION],"&lt;"&amp;DATE(2026,12,1))</f>
        <v/>
      </c>
      <c r="M8" s="7">
        <f>SUMIFS(TablaIngresos[Amount],TablaIngresos[Category],$A8,TablaIngresos[INCOME STATEMENT - REVENUE SECTION],"&gt;="&amp;DATE(2026,12,1),TablaIngresos[INCOME STATEMENT - REVENUE SECTION],"&lt;"&amp;DATE(2027,1,1))</f>
        <v/>
      </c>
      <c r="N8" s="7">
        <f>SUM(B8:M8)</f>
        <v/>
      </c>
    </row>
    <row r="9">
      <c r="A9" s="8" t="inlineStr">
        <is>
          <t>Dividend income</t>
        </is>
      </c>
      <c r="B9" s="7">
        <f>SUMIFS(TablaIngresos[Amount],TablaIngresos[Category],$A9,TablaIngresos[INCOME STATEMENT - REVENUE SECTION],"&gt;="&amp;DATE(2026,1,1),TablaIngresos[INCOME STATEMENT - REVENUE SECTION],"&lt;"&amp;DATE(2026,2,1))</f>
        <v/>
      </c>
      <c r="C9" s="7">
        <f>SUMIFS(TablaIngresos[Amount],TablaIngresos[Category],$A9,TablaIngresos[INCOME STATEMENT - REVENUE SECTION],"&gt;="&amp;DATE(2026,2,1),TablaIngresos[INCOME STATEMENT - REVENUE SECTION],"&lt;"&amp;DATE(2026,3,1))</f>
        <v/>
      </c>
      <c r="D9" s="7">
        <f>SUMIFS(TablaIngresos[Amount],TablaIngresos[Category],$A9,TablaIngresos[INCOME STATEMENT - REVENUE SECTION],"&gt;="&amp;DATE(2026,3,1),TablaIngresos[INCOME STATEMENT - REVENUE SECTION],"&lt;"&amp;DATE(2026,4,1))</f>
        <v/>
      </c>
      <c r="E9" s="7">
        <f>SUMIFS(TablaIngresos[Amount],TablaIngresos[Category],$A9,TablaIngresos[INCOME STATEMENT - REVENUE SECTION],"&gt;="&amp;DATE(2026,4,1),TablaIngresos[INCOME STATEMENT - REVENUE SECTION],"&lt;"&amp;DATE(2026,5,1))</f>
        <v/>
      </c>
      <c r="F9" s="7">
        <f>SUMIFS(TablaIngresos[Amount],TablaIngresos[Category],$A9,TablaIngresos[INCOME STATEMENT - REVENUE SECTION],"&gt;="&amp;DATE(2026,5,1),TablaIngresos[INCOME STATEMENT - REVENUE SECTION],"&lt;"&amp;DATE(2026,6,1))</f>
        <v/>
      </c>
      <c r="G9" s="7">
        <f>SUMIFS(TablaIngresos[Amount],TablaIngresos[Category],$A9,TablaIngresos[INCOME STATEMENT - REVENUE SECTION],"&gt;="&amp;DATE(2026,6,1),TablaIngresos[INCOME STATEMENT - REVENUE SECTION],"&lt;"&amp;DATE(2026,7,1))</f>
        <v/>
      </c>
      <c r="H9" s="7">
        <f>SUMIFS(TablaIngresos[Amount],TablaIngresos[Category],$A9,TablaIngresos[INCOME STATEMENT - REVENUE SECTION],"&gt;="&amp;DATE(2026,7,1),TablaIngresos[INCOME STATEMENT - REVENUE SECTION],"&lt;"&amp;DATE(2026,8,1))</f>
        <v/>
      </c>
      <c r="I9" s="7">
        <f>SUMIFS(TablaIngresos[Amount],TablaIngresos[Category],$A9,TablaIngresos[INCOME STATEMENT - REVENUE SECTION],"&gt;="&amp;DATE(2026,8,1),TablaIngresos[INCOME STATEMENT - REVENUE SECTION],"&lt;"&amp;DATE(2026,9,1))</f>
        <v/>
      </c>
      <c r="J9" s="7">
        <f>SUMIFS(TablaIngresos[Amount],TablaIngresos[Category],$A9,TablaIngresos[INCOME STATEMENT - REVENUE SECTION],"&gt;="&amp;DATE(2026,9,1),TablaIngresos[INCOME STATEMENT - REVENUE SECTION],"&lt;"&amp;DATE(2026,10,1))</f>
        <v/>
      </c>
      <c r="K9" s="7">
        <f>SUMIFS(TablaIngresos[Amount],TablaIngresos[Category],$A9,TablaIngresos[INCOME STATEMENT - REVENUE SECTION],"&gt;="&amp;DATE(2026,10,1),TablaIngresos[INCOME STATEMENT - REVENUE SECTION],"&lt;"&amp;DATE(2026,11,1))</f>
        <v/>
      </c>
      <c r="L9" s="7">
        <f>SUMIFS(TablaIngresos[Amount],TablaIngresos[Category],$A9,TablaIngresos[INCOME STATEMENT - REVENUE SECTION],"&gt;="&amp;DATE(2026,11,1),TablaIngresos[INCOME STATEMENT - REVENUE SECTION],"&lt;"&amp;DATE(2026,12,1))</f>
        <v/>
      </c>
      <c r="M9" s="7">
        <f>SUMIFS(TablaIngresos[Amount],TablaIngresos[Category],$A9,TablaIngresos[INCOME STATEMENT - REVENUE SECTION],"&gt;="&amp;DATE(2026,12,1),TablaIngresos[INCOME STATEMENT - REVENUE SECTION],"&lt;"&amp;DATE(2027,1,1))</f>
        <v/>
      </c>
      <c r="N9" s="7">
        <f>SUM(B9:M9)</f>
        <v/>
      </c>
    </row>
    <row r="10">
      <c r="A10" s="8" t="inlineStr">
        <is>
          <t>Capital gains</t>
        </is>
      </c>
      <c r="B10" s="7">
        <f>SUMIFS(TablaIngresos[Amount],TablaIngresos[Category],$A10,TablaIngresos[INCOME STATEMENT - REVENUE SECTION],"&gt;="&amp;DATE(2026,1,1),TablaIngresos[INCOME STATEMENT - REVENUE SECTION],"&lt;"&amp;DATE(2026,2,1))</f>
        <v/>
      </c>
      <c r="C10" s="7">
        <f>SUMIFS(TablaIngresos[Amount],TablaIngresos[Category],$A10,TablaIngresos[INCOME STATEMENT - REVENUE SECTION],"&gt;="&amp;DATE(2026,2,1),TablaIngresos[INCOME STATEMENT - REVENUE SECTION],"&lt;"&amp;DATE(2026,3,1))</f>
        <v/>
      </c>
      <c r="D10" s="7">
        <f>SUMIFS(TablaIngresos[Amount],TablaIngresos[Category],$A10,TablaIngresos[INCOME STATEMENT - REVENUE SECTION],"&gt;="&amp;DATE(2026,3,1),TablaIngresos[INCOME STATEMENT - REVENUE SECTION],"&lt;"&amp;DATE(2026,4,1))</f>
        <v/>
      </c>
      <c r="E10" s="7">
        <f>SUMIFS(TablaIngresos[Amount],TablaIngresos[Category],$A10,TablaIngresos[INCOME STATEMENT - REVENUE SECTION],"&gt;="&amp;DATE(2026,4,1),TablaIngresos[INCOME STATEMENT - REVENUE SECTION],"&lt;"&amp;DATE(2026,5,1))</f>
        <v/>
      </c>
      <c r="F10" s="7">
        <f>SUMIFS(TablaIngresos[Amount],TablaIngresos[Category],$A10,TablaIngresos[INCOME STATEMENT - REVENUE SECTION],"&gt;="&amp;DATE(2026,5,1),TablaIngresos[INCOME STATEMENT - REVENUE SECTION],"&lt;"&amp;DATE(2026,6,1))</f>
        <v/>
      </c>
      <c r="G10" s="7">
        <f>SUMIFS(TablaIngresos[Amount],TablaIngresos[Category],$A10,TablaIngresos[INCOME STATEMENT - REVENUE SECTION],"&gt;="&amp;DATE(2026,6,1),TablaIngresos[INCOME STATEMENT - REVENUE SECTION],"&lt;"&amp;DATE(2026,7,1))</f>
        <v/>
      </c>
      <c r="H10" s="7">
        <f>SUMIFS(TablaIngresos[Amount],TablaIngresos[Category],$A10,TablaIngresos[INCOME STATEMENT - REVENUE SECTION],"&gt;="&amp;DATE(2026,7,1),TablaIngresos[INCOME STATEMENT - REVENUE SECTION],"&lt;"&amp;DATE(2026,8,1))</f>
        <v/>
      </c>
      <c r="I10" s="7">
        <f>SUMIFS(TablaIngresos[Amount],TablaIngresos[Category],$A10,TablaIngresos[INCOME STATEMENT - REVENUE SECTION],"&gt;="&amp;DATE(2026,8,1),TablaIngresos[INCOME STATEMENT - REVENUE SECTION],"&lt;"&amp;DATE(2026,9,1))</f>
        <v/>
      </c>
      <c r="J10" s="7">
        <f>SUMIFS(TablaIngresos[Amount],TablaIngresos[Category],$A10,TablaIngresos[INCOME STATEMENT - REVENUE SECTION],"&gt;="&amp;DATE(2026,9,1),TablaIngresos[INCOME STATEMENT - REVENUE SECTION],"&lt;"&amp;DATE(2026,10,1))</f>
        <v/>
      </c>
      <c r="K10" s="7">
        <f>SUMIFS(TablaIngresos[Amount],TablaIngresos[Category],$A10,TablaIngresos[INCOME STATEMENT - REVENUE SECTION],"&gt;="&amp;DATE(2026,10,1),TablaIngresos[INCOME STATEMENT - REVENUE SECTION],"&lt;"&amp;DATE(2026,11,1))</f>
        <v/>
      </c>
      <c r="L10" s="7">
        <f>SUMIFS(TablaIngresos[Amount],TablaIngresos[Category],$A10,TablaIngresos[INCOME STATEMENT - REVENUE SECTION],"&gt;="&amp;DATE(2026,11,1),TablaIngresos[INCOME STATEMENT - REVENUE SECTION],"&lt;"&amp;DATE(2026,12,1))</f>
        <v/>
      </c>
      <c r="M10" s="7">
        <f>SUMIFS(TablaIngresos[Amount],TablaIngresos[Category],$A10,TablaIngresos[INCOME STATEMENT - REVENUE SECTION],"&gt;="&amp;DATE(2026,12,1),TablaIngresos[INCOME STATEMENT - REVENUE SECTION],"&lt;"&amp;DATE(2027,1,1))</f>
        <v/>
      </c>
      <c r="N10" s="7">
        <f>SUM(B10:M10)</f>
        <v/>
      </c>
    </row>
    <row r="11" ht="15.75" customHeight="1" s="81" thickBot="1">
      <c r="A11" s="16" t="inlineStr">
        <is>
          <t>TOTAL REVENUE</t>
        </is>
      </c>
      <c r="B11" s="17">
        <f>SUM(B6:B10)</f>
        <v/>
      </c>
      <c r="C11" s="17">
        <f>SUM(C6:C10)</f>
        <v/>
      </c>
      <c r="D11" s="17">
        <f>SUM(D6:D10)</f>
        <v/>
      </c>
      <c r="E11" s="17">
        <f>SUM(E6:E10)</f>
        <v/>
      </c>
      <c r="F11" s="17">
        <f>SUM(F6:F10)</f>
        <v/>
      </c>
      <c r="G11" s="17">
        <f>SUM(G6:G10)</f>
        <v/>
      </c>
      <c r="H11" s="17">
        <f>SUM(H6:H10)</f>
        <v/>
      </c>
      <c r="I11" s="17">
        <f>SUM(I6:I10)</f>
        <v/>
      </c>
      <c r="J11" s="17">
        <f>SUM(J6:J10)</f>
        <v/>
      </c>
      <c r="K11" s="17">
        <f>SUM(K6:K10)</f>
        <v/>
      </c>
      <c r="L11" s="17">
        <f>SUM(L6:L10)</f>
        <v/>
      </c>
      <c r="M11" s="17">
        <f>SUM(M6:M10)</f>
        <v/>
      </c>
      <c r="N11" s="17">
        <f>SUM(B11:M11)</f>
        <v/>
      </c>
    </row>
    <row r="12" ht="15.75" customHeight="1" s="81" thickTop="1">
      <c r="A12" s="8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14" t="inlineStr">
        <is>
          <t>EXPENSES / GASTOS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8" t="inlineStr">
        <is>
          <t>Advertising</t>
        </is>
      </c>
      <c r="B14" s="7">
        <f>SUMIFS(TablaGastos[Amount],TablaGastos[Category],$A14,TablaGastos[Date],"&gt;="&amp;DATE(2026,1,1),TablaGastos[Date],"&lt;"&amp;DATE(2026,2,1))</f>
        <v/>
      </c>
      <c r="C14" s="7">
        <f>SUMIFS(TablaGastos[Amount],TablaGastos[Category],$A14,TablaGastos[Date],"&gt;="&amp;DATE(2026,2,1),TablaGastos[Date],"&lt;"&amp;DATE(2026,3,1))</f>
        <v/>
      </c>
      <c r="D14" s="7">
        <f>SUMIFS(TablaGastos[Amount],TablaGastos[Category],$A14,TablaGastos[Date],"&gt;="&amp;DATE(2026,3,1),TablaGastos[Date],"&lt;"&amp;DATE(2026,4,1))</f>
        <v/>
      </c>
      <c r="E14" s="7">
        <f>SUMIFS(TablaGastos[Amount],TablaGastos[Category],$A14,TablaGastos[Date],"&gt;="&amp;DATE(2026,4,1),TablaGastos[Date],"&lt;"&amp;DATE(2026,5,1))</f>
        <v/>
      </c>
      <c r="F14" s="7">
        <f>SUMIFS(TablaGastos[Amount],TablaGastos[Category],$A14,TablaGastos[Date],"&gt;="&amp;DATE(2026,5,1),TablaGastos[Date],"&lt;"&amp;DATE(2026,6,1))</f>
        <v/>
      </c>
      <c r="G14" s="7">
        <f>SUMIFS(TablaGastos[Amount],TablaGastos[Category],$A14,TablaGastos[Date],"&gt;="&amp;DATE(2026,6,1),TablaGastos[Date],"&lt;"&amp;DATE(2026,7,1))</f>
        <v/>
      </c>
      <c r="H14" s="7">
        <f>SUMIFS(TablaGastos[Amount],TablaGastos[Category],$A14,TablaGastos[Date],"&gt;="&amp;DATE(2026,7,1),TablaGastos[Date],"&lt;"&amp;DATE(2026,8,1))</f>
        <v/>
      </c>
      <c r="I14" s="7">
        <f>SUMIFS(TablaGastos[Amount],TablaGastos[Category],$A14,TablaGastos[Date],"&gt;="&amp;DATE(2026,8,1),TablaGastos[Date],"&lt;"&amp;DATE(2026,9,1))</f>
        <v/>
      </c>
      <c r="J14" s="7">
        <f>SUMIFS(TablaGastos[Amount],TablaGastos[Category],$A14,TablaGastos[Date],"&gt;="&amp;DATE(2026,9,1),TablaGastos[Date],"&lt;"&amp;DATE(2026,10,1))</f>
        <v/>
      </c>
      <c r="K14" s="7">
        <f>SUMIFS(TablaGastos[Amount],TablaGastos[Category],$A14,TablaGastos[Date],"&gt;="&amp;DATE(2026,10,1),TablaGastos[Date],"&lt;"&amp;DATE(2026,11,1))</f>
        <v/>
      </c>
      <c r="L14" s="7">
        <f>SUMIFS(TablaGastos[Amount],TablaGastos[Category],$A14,TablaGastos[Date],"&gt;="&amp;DATE(2026,11,1),TablaGastos[Date],"&lt;"&amp;DATE(2026,12,1))</f>
        <v/>
      </c>
      <c r="M14" s="7">
        <f>SUMIFS(TablaGastos[Amount],TablaGastos[Category],$A14,TablaGastos[Date],"&gt;="&amp;DATE(2026,12,1),TablaGastos[Date],"&lt;"&amp;DATE(2027,1,1))</f>
        <v/>
      </c>
      <c r="N14" s="7">
        <f>SUM(B14:M14)</f>
        <v/>
      </c>
    </row>
    <row r="15">
      <c r="A15" s="8" t="inlineStr">
        <is>
          <t>Bad debts</t>
        </is>
      </c>
      <c r="B15" s="7">
        <f>SUMIFS(TablaGastos[Amount],TablaGastos[Category],$A15,TablaGastos[Date],"&gt;="&amp;DATE(2026,1,1),TablaGastos[Date],"&lt;"&amp;DATE(2026,2,1))</f>
        <v/>
      </c>
      <c r="C15" s="7">
        <f>SUMIFS(TablaGastos[Amount],TablaGastos[Category],$A15,TablaGastos[Date],"&gt;="&amp;DATE(2026,2,1),TablaGastos[Date],"&lt;"&amp;DATE(2026,3,1))</f>
        <v/>
      </c>
      <c r="D15" s="7">
        <f>SUMIFS(TablaGastos[Amount],TablaGastos[Category],$A15,TablaGastos[Date],"&gt;="&amp;DATE(2026,3,1),TablaGastos[Date],"&lt;"&amp;DATE(2026,4,1))</f>
        <v/>
      </c>
      <c r="E15" s="7">
        <f>SUMIFS(TablaGastos[Amount],TablaGastos[Category],$A15,TablaGastos[Date],"&gt;="&amp;DATE(2026,4,1),TablaGastos[Date],"&lt;"&amp;DATE(2026,5,1))</f>
        <v/>
      </c>
      <c r="F15" s="7">
        <f>SUMIFS(TablaGastos[Amount],TablaGastos[Category],$A15,TablaGastos[Date],"&gt;="&amp;DATE(2026,5,1),TablaGastos[Date],"&lt;"&amp;DATE(2026,6,1))</f>
        <v/>
      </c>
      <c r="G15" s="7">
        <f>SUMIFS(TablaGastos[Amount],TablaGastos[Category],$A15,TablaGastos[Date],"&gt;="&amp;DATE(2026,6,1),TablaGastos[Date],"&lt;"&amp;DATE(2026,7,1))</f>
        <v/>
      </c>
      <c r="H15" s="7">
        <f>SUMIFS(TablaGastos[Amount],TablaGastos[Category],$A15,TablaGastos[Date],"&gt;="&amp;DATE(2026,7,1),TablaGastos[Date],"&lt;"&amp;DATE(2026,8,1))</f>
        <v/>
      </c>
      <c r="I15" s="7">
        <f>SUMIFS(TablaGastos[Amount],TablaGastos[Category],$A15,TablaGastos[Date],"&gt;="&amp;DATE(2026,8,1),TablaGastos[Date],"&lt;"&amp;DATE(2026,9,1))</f>
        <v/>
      </c>
      <c r="J15" s="7">
        <f>SUMIFS(TablaGastos[Amount],TablaGastos[Category],$A15,TablaGastos[Date],"&gt;="&amp;DATE(2026,9,1),TablaGastos[Date],"&lt;"&amp;DATE(2026,10,1))</f>
        <v/>
      </c>
      <c r="K15" s="7">
        <f>SUMIFS(TablaGastos[Amount],TablaGastos[Category],$A15,TablaGastos[Date],"&gt;="&amp;DATE(2026,10,1),TablaGastos[Date],"&lt;"&amp;DATE(2026,11,1))</f>
        <v/>
      </c>
      <c r="L15" s="7">
        <f>SUMIFS(TablaGastos[Amount],TablaGastos[Category],$A15,TablaGastos[Date],"&gt;="&amp;DATE(2026,11,1),TablaGastos[Date],"&lt;"&amp;DATE(2026,12,1))</f>
        <v/>
      </c>
      <c r="M15" s="7">
        <f>SUMIFS(TablaGastos[Amount],TablaGastos[Category],$A15,TablaGastos[Date],"&gt;="&amp;DATE(2026,12,1),TablaGastos[Date],"&lt;"&amp;DATE(2027,1,1))</f>
        <v/>
      </c>
      <c r="N15" s="7">
        <f>SUM(B15:M15)</f>
        <v/>
      </c>
    </row>
    <row r="16">
      <c r="A16" s="8" t="inlineStr">
        <is>
          <t>Car and truck expenses</t>
        </is>
      </c>
      <c r="B16" s="7">
        <f>SUMIFS(TablaGastos[Amount],TablaGastos[Category],$A16,TablaGastos[Date],"&gt;="&amp;DATE(2026,1,1),TablaGastos[Date],"&lt;"&amp;DATE(2026,2,1))</f>
        <v/>
      </c>
      <c r="C16" s="7">
        <f>SUMIFS(TablaGastos[Amount],TablaGastos[Category],$A16,TablaGastos[Date],"&gt;="&amp;DATE(2026,2,1),TablaGastos[Date],"&lt;"&amp;DATE(2026,3,1))</f>
        <v/>
      </c>
      <c r="D16" s="7">
        <f>SUMIFS(TablaGastos[Amount],TablaGastos[Category],$A16,TablaGastos[Date],"&gt;="&amp;DATE(2026,3,1),TablaGastos[Date],"&lt;"&amp;DATE(2026,4,1))</f>
        <v/>
      </c>
      <c r="E16" s="7">
        <f>SUMIFS(TablaGastos[Amount],TablaGastos[Category],$A16,TablaGastos[Date],"&gt;="&amp;DATE(2026,4,1),TablaGastos[Date],"&lt;"&amp;DATE(2026,5,1))</f>
        <v/>
      </c>
      <c r="F16" s="7">
        <f>SUMIFS(TablaGastos[Amount],TablaGastos[Category],$A16,TablaGastos[Date],"&gt;="&amp;DATE(2026,5,1),TablaGastos[Date],"&lt;"&amp;DATE(2026,6,1))</f>
        <v/>
      </c>
      <c r="G16" s="7">
        <f>SUMIFS(TablaGastos[Amount],TablaGastos[Category],$A16,TablaGastos[Date],"&gt;="&amp;DATE(2026,6,1),TablaGastos[Date],"&lt;"&amp;DATE(2026,7,1))</f>
        <v/>
      </c>
      <c r="H16" s="7">
        <f>SUMIFS(TablaGastos[Amount],TablaGastos[Category],$A16,TablaGastos[Date],"&gt;="&amp;DATE(2026,7,1),TablaGastos[Date],"&lt;"&amp;DATE(2026,8,1))</f>
        <v/>
      </c>
      <c r="I16" s="7">
        <f>SUMIFS(TablaGastos[Amount],TablaGastos[Category],$A16,TablaGastos[Date],"&gt;="&amp;DATE(2026,8,1),TablaGastos[Date],"&lt;"&amp;DATE(2026,9,1))</f>
        <v/>
      </c>
      <c r="J16" s="7">
        <f>SUMIFS(TablaGastos[Amount],TablaGastos[Category],$A16,TablaGastos[Date],"&gt;="&amp;DATE(2026,9,1),TablaGastos[Date],"&lt;"&amp;DATE(2026,10,1))</f>
        <v/>
      </c>
      <c r="K16" s="7">
        <f>SUMIFS(TablaGastos[Amount],TablaGastos[Category],$A16,TablaGastos[Date],"&gt;="&amp;DATE(2026,10,1),TablaGastos[Date],"&lt;"&amp;DATE(2026,11,1))</f>
        <v/>
      </c>
      <c r="L16" s="7">
        <f>SUMIFS(TablaGastos[Amount],TablaGastos[Category],$A16,TablaGastos[Date],"&gt;="&amp;DATE(2026,11,1),TablaGastos[Date],"&lt;"&amp;DATE(2026,12,1))</f>
        <v/>
      </c>
      <c r="M16" s="7">
        <f>SUMIFS(TablaGastos[Amount],TablaGastos[Category],$A16,TablaGastos[Date],"&gt;="&amp;DATE(2026,12,1),TablaGastos[Date],"&lt;"&amp;DATE(2027,1,1))</f>
        <v/>
      </c>
      <c r="N16" s="7">
        <f>SUM(B16:M16)</f>
        <v/>
      </c>
    </row>
    <row r="17">
      <c r="A17" s="8" t="inlineStr">
        <is>
          <t>Commissions and fees</t>
        </is>
      </c>
      <c r="B17" s="7">
        <f>SUMIFS(TablaGastos[Amount],TablaGastos[Category],$A17,TablaGastos[Date],"&gt;="&amp;DATE(2026,1,1),TablaGastos[Date],"&lt;"&amp;DATE(2026,2,1))</f>
        <v/>
      </c>
      <c r="C17" s="7">
        <f>SUMIFS(TablaGastos[Amount],TablaGastos[Category],$A17,TablaGastos[Date],"&gt;="&amp;DATE(2026,2,1),TablaGastos[Date],"&lt;"&amp;DATE(2026,3,1))</f>
        <v/>
      </c>
      <c r="D17" s="7">
        <f>SUMIFS(TablaGastos[Amount],TablaGastos[Category],$A17,TablaGastos[Date],"&gt;="&amp;DATE(2026,3,1),TablaGastos[Date],"&lt;"&amp;DATE(2026,4,1))</f>
        <v/>
      </c>
      <c r="E17" s="7">
        <f>SUMIFS(TablaGastos[Amount],TablaGastos[Category],$A17,TablaGastos[Date],"&gt;="&amp;DATE(2026,4,1),TablaGastos[Date],"&lt;"&amp;DATE(2026,5,1))</f>
        <v/>
      </c>
      <c r="F17" s="7">
        <f>SUMIFS(TablaGastos[Amount],TablaGastos[Category],$A17,TablaGastos[Date],"&gt;="&amp;DATE(2026,5,1),TablaGastos[Date],"&lt;"&amp;DATE(2026,6,1))</f>
        <v/>
      </c>
      <c r="G17" s="7">
        <f>SUMIFS(TablaGastos[Amount],TablaGastos[Category],$A17,TablaGastos[Date],"&gt;="&amp;DATE(2026,6,1),TablaGastos[Date],"&lt;"&amp;DATE(2026,7,1))</f>
        <v/>
      </c>
      <c r="H17" s="7">
        <f>SUMIFS(TablaGastos[Amount],TablaGastos[Category],$A17,TablaGastos[Date],"&gt;="&amp;DATE(2026,7,1),TablaGastos[Date],"&lt;"&amp;DATE(2026,8,1))</f>
        <v/>
      </c>
      <c r="I17" s="7">
        <f>SUMIFS(TablaGastos[Amount],TablaGastos[Category],$A17,TablaGastos[Date],"&gt;="&amp;DATE(2026,8,1),TablaGastos[Date],"&lt;"&amp;DATE(2026,9,1))</f>
        <v/>
      </c>
      <c r="J17" s="7">
        <f>SUMIFS(TablaGastos[Amount],TablaGastos[Category],$A17,TablaGastos[Date],"&gt;="&amp;DATE(2026,9,1),TablaGastos[Date],"&lt;"&amp;DATE(2026,10,1))</f>
        <v/>
      </c>
      <c r="K17" s="7">
        <f>SUMIFS(TablaGastos[Amount],TablaGastos[Category],$A17,TablaGastos[Date],"&gt;="&amp;DATE(2026,10,1),TablaGastos[Date],"&lt;"&amp;DATE(2026,11,1))</f>
        <v/>
      </c>
      <c r="L17" s="7">
        <f>SUMIFS(TablaGastos[Amount],TablaGastos[Category],$A17,TablaGastos[Date],"&gt;="&amp;DATE(2026,11,1),TablaGastos[Date],"&lt;"&amp;DATE(2026,12,1))</f>
        <v/>
      </c>
      <c r="M17" s="7">
        <f>SUMIFS(TablaGastos[Amount],TablaGastos[Category],$A17,TablaGastos[Date],"&gt;="&amp;DATE(2026,12,1),TablaGastos[Date],"&lt;"&amp;DATE(2027,1,1))</f>
        <v/>
      </c>
      <c r="N17" s="7">
        <f>SUM(B17:M17)</f>
        <v/>
      </c>
    </row>
    <row r="18">
      <c r="A18" s="8" t="inlineStr">
        <is>
          <t>Compensation of officers</t>
        </is>
      </c>
      <c r="B18" s="7">
        <f>SUMIFS(TablaGastos[Amount],TablaGastos[Category],$A18,TablaGastos[Date],"&gt;="&amp;DATE(2026,1,1),TablaGastos[Date],"&lt;"&amp;DATE(2026,2,1))</f>
        <v/>
      </c>
      <c r="C18" s="7">
        <f>SUMIFS(TablaGastos[Amount],TablaGastos[Category],$A18,TablaGastos[Date],"&gt;="&amp;DATE(2026,2,1),TablaGastos[Date],"&lt;"&amp;DATE(2026,3,1))</f>
        <v/>
      </c>
      <c r="D18" s="7">
        <f>SUMIFS(TablaGastos[Amount],TablaGastos[Category],$A18,TablaGastos[Date],"&gt;="&amp;DATE(2026,3,1),TablaGastos[Date],"&lt;"&amp;DATE(2026,4,1))</f>
        <v/>
      </c>
      <c r="E18" s="7">
        <f>SUMIFS(TablaGastos[Amount],TablaGastos[Category],$A18,TablaGastos[Date],"&gt;="&amp;DATE(2026,4,1),TablaGastos[Date],"&lt;"&amp;DATE(2026,5,1))</f>
        <v/>
      </c>
      <c r="F18" s="7">
        <f>SUMIFS(TablaGastos[Amount],TablaGastos[Category],$A18,TablaGastos[Date],"&gt;="&amp;DATE(2026,5,1),TablaGastos[Date],"&lt;"&amp;DATE(2026,6,1))</f>
        <v/>
      </c>
      <c r="G18" s="7">
        <f>SUMIFS(TablaGastos[Amount],TablaGastos[Category],$A18,TablaGastos[Date],"&gt;="&amp;DATE(2026,6,1),TablaGastos[Date],"&lt;"&amp;DATE(2026,7,1))</f>
        <v/>
      </c>
      <c r="H18" s="7">
        <f>SUMIFS(TablaGastos[Amount],TablaGastos[Category],$A18,TablaGastos[Date],"&gt;="&amp;DATE(2026,7,1),TablaGastos[Date],"&lt;"&amp;DATE(2026,8,1))</f>
        <v/>
      </c>
      <c r="I18" s="7">
        <f>SUMIFS(TablaGastos[Amount],TablaGastos[Category],$A18,TablaGastos[Date],"&gt;="&amp;DATE(2026,8,1),TablaGastos[Date],"&lt;"&amp;DATE(2026,9,1))</f>
        <v/>
      </c>
      <c r="J18" s="7">
        <f>SUMIFS(TablaGastos[Amount],TablaGastos[Category],$A18,TablaGastos[Date],"&gt;="&amp;DATE(2026,9,1),TablaGastos[Date],"&lt;"&amp;DATE(2026,10,1))</f>
        <v/>
      </c>
      <c r="K18" s="7">
        <f>SUMIFS(TablaGastos[Amount],TablaGastos[Category],$A18,TablaGastos[Date],"&gt;="&amp;DATE(2026,10,1),TablaGastos[Date],"&lt;"&amp;DATE(2026,11,1))</f>
        <v/>
      </c>
      <c r="L18" s="7">
        <f>SUMIFS(TablaGastos[Amount],TablaGastos[Category],$A18,TablaGastos[Date],"&gt;="&amp;DATE(2026,11,1),TablaGastos[Date],"&lt;"&amp;DATE(2026,12,1))</f>
        <v/>
      </c>
      <c r="M18" s="7">
        <f>SUMIFS(TablaGastos[Amount],TablaGastos[Category],$A18,TablaGastos[Date],"&gt;="&amp;DATE(2026,12,1),TablaGastos[Date],"&lt;"&amp;DATE(2027,1,1))</f>
        <v/>
      </c>
      <c r="N18" s="7">
        <f>SUM(B18:M18)</f>
        <v/>
      </c>
    </row>
    <row r="19">
      <c r="A19" s="8" t="inlineStr">
        <is>
          <t>Contract labor</t>
        </is>
      </c>
      <c r="B19" s="7">
        <f>SUMIFS(TablaGastos[Amount],TablaGastos[Category],$A19,TablaGastos[Date],"&gt;="&amp;DATE(2026,1,1),TablaGastos[Date],"&lt;"&amp;DATE(2026,2,1))</f>
        <v/>
      </c>
      <c r="C19" s="7">
        <f>SUMIFS(TablaGastos[Amount],TablaGastos[Category],$A19,TablaGastos[Date],"&gt;="&amp;DATE(2026,2,1),TablaGastos[Date],"&lt;"&amp;DATE(2026,3,1))</f>
        <v/>
      </c>
      <c r="D19" s="7">
        <f>SUMIFS(TablaGastos[Amount],TablaGastos[Category],$A19,TablaGastos[Date],"&gt;="&amp;DATE(2026,3,1),TablaGastos[Date],"&lt;"&amp;DATE(2026,4,1))</f>
        <v/>
      </c>
      <c r="E19" s="7">
        <f>SUMIFS(TablaGastos[Amount],TablaGastos[Category],$A19,TablaGastos[Date],"&gt;="&amp;DATE(2026,4,1),TablaGastos[Date],"&lt;"&amp;DATE(2026,5,1))</f>
        <v/>
      </c>
      <c r="F19" s="7">
        <f>SUMIFS(TablaGastos[Amount],TablaGastos[Category],$A19,TablaGastos[Date],"&gt;="&amp;DATE(2026,5,1),TablaGastos[Date],"&lt;"&amp;DATE(2026,6,1))</f>
        <v/>
      </c>
      <c r="G19" s="7">
        <f>SUMIFS(TablaGastos[Amount],TablaGastos[Category],$A19,TablaGastos[Date],"&gt;="&amp;DATE(2026,6,1),TablaGastos[Date],"&lt;"&amp;DATE(2026,7,1))</f>
        <v/>
      </c>
      <c r="H19" s="7">
        <f>SUMIFS(TablaGastos[Amount],TablaGastos[Category],$A19,TablaGastos[Date],"&gt;="&amp;DATE(2026,7,1),TablaGastos[Date],"&lt;"&amp;DATE(2026,8,1))</f>
        <v/>
      </c>
      <c r="I19" s="7">
        <f>SUMIFS(TablaGastos[Amount],TablaGastos[Category],$A19,TablaGastos[Date],"&gt;="&amp;DATE(2026,8,1),TablaGastos[Date],"&lt;"&amp;DATE(2026,9,1))</f>
        <v/>
      </c>
      <c r="J19" s="7">
        <f>SUMIFS(TablaGastos[Amount],TablaGastos[Category],$A19,TablaGastos[Date],"&gt;="&amp;DATE(2026,9,1),TablaGastos[Date],"&lt;"&amp;DATE(2026,10,1))</f>
        <v/>
      </c>
      <c r="K19" s="7">
        <f>SUMIFS(TablaGastos[Amount],TablaGastos[Category],$A19,TablaGastos[Date],"&gt;="&amp;DATE(2026,10,1),TablaGastos[Date],"&lt;"&amp;DATE(2026,11,1))</f>
        <v/>
      </c>
      <c r="L19" s="7">
        <f>SUMIFS(TablaGastos[Amount],TablaGastos[Category],$A19,TablaGastos[Date],"&gt;="&amp;DATE(2026,11,1),TablaGastos[Date],"&lt;"&amp;DATE(2026,12,1))</f>
        <v/>
      </c>
      <c r="M19" s="7">
        <f>SUMIFS(TablaGastos[Amount],TablaGastos[Category],$A19,TablaGastos[Date],"&gt;="&amp;DATE(2026,12,1),TablaGastos[Date],"&lt;"&amp;DATE(2027,1,1))</f>
        <v/>
      </c>
      <c r="N19" s="7">
        <f>SUM(B19:M19)</f>
        <v/>
      </c>
    </row>
    <row r="20">
      <c r="A20" s="8" t="inlineStr">
        <is>
          <t>Cost of goods sold</t>
        </is>
      </c>
      <c r="B20" s="7">
        <f>SUMIFS(TablaGastos[Amount],TablaGastos[Category],$A20,TablaGastos[Date],"&gt;="&amp;DATE(2026,1,1),TablaGastos[Date],"&lt;"&amp;DATE(2026,2,1))</f>
        <v/>
      </c>
      <c r="C20" s="7">
        <f>SUMIFS(TablaGastos[Amount],TablaGastos[Category],$A20,TablaGastos[Date],"&gt;="&amp;DATE(2026,2,1),TablaGastos[Date],"&lt;"&amp;DATE(2026,3,1))</f>
        <v/>
      </c>
      <c r="D20" s="7">
        <f>SUMIFS(TablaGastos[Amount],TablaGastos[Category],$A20,TablaGastos[Date],"&gt;="&amp;DATE(2026,3,1),TablaGastos[Date],"&lt;"&amp;DATE(2026,4,1))</f>
        <v/>
      </c>
      <c r="E20" s="7">
        <f>SUMIFS(TablaGastos[Amount],TablaGastos[Category],$A20,TablaGastos[Date],"&gt;="&amp;DATE(2026,4,1),TablaGastos[Date],"&lt;"&amp;DATE(2026,5,1))</f>
        <v/>
      </c>
      <c r="F20" s="7">
        <f>SUMIFS(TablaGastos[Amount],TablaGastos[Category],$A20,TablaGastos[Date],"&gt;="&amp;DATE(2026,5,1),TablaGastos[Date],"&lt;"&amp;DATE(2026,6,1))</f>
        <v/>
      </c>
      <c r="G20" s="7">
        <f>SUMIFS(TablaGastos[Amount],TablaGastos[Category],$A20,TablaGastos[Date],"&gt;="&amp;DATE(2026,6,1),TablaGastos[Date],"&lt;"&amp;DATE(2026,7,1))</f>
        <v/>
      </c>
      <c r="H20" s="7">
        <f>SUMIFS(TablaGastos[Amount],TablaGastos[Category],$A20,TablaGastos[Date],"&gt;="&amp;DATE(2026,7,1),TablaGastos[Date],"&lt;"&amp;DATE(2026,8,1))</f>
        <v/>
      </c>
      <c r="I20" s="7">
        <f>SUMIFS(TablaGastos[Amount],TablaGastos[Category],$A20,TablaGastos[Date],"&gt;="&amp;DATE(2026,8,1),TablaGastos[Date],"&lt;"&amp;DATE(2026,9,1))</f>
        <v/>
      </c>
      <c r="J20" s="7">
        <f>SUMIFS(TablaGastos[Amount],TablaGastos[Category],$A20,TablaGastos[Date],"&gt;="&amp;DATE(2026,9,1),TablaGastos[Date],"&lt;"&amp;DATE(2026,10,1))</f>
        <v/>
      </c>
      <c r="K20" s="7">
        <f>SUMIFS(TablaGastos[Amount],TablaGastos[Category],$A20,TablaGastos[Date],"&gt;="&amp;DATE(2026,10,1),TablaGastos[Date],"&lt;"&amp;DATE(2026,11,1))</f>
        <v/>
      </c>
      <c r="L20" s="7">
        <f>SUMIFS(TablaGastos[Amount],TablaGastos[Category],$A20,TablaGastos[Date],"&gt;="&amp;DATE(2026,11,1),TablaGastos[Date],"&lt;"&amp;DATE(2026,12,1))</f>
        <v/>
      </c>
      <c r="M20" s="7">
        <f>SUMIFS(TablaGastos[Amount],TablaGastos[Category],$A20,TablaGastos[Date],"&gt;="&amp;DATE(2026,12,1),TablaGastos[Date],"&lt;"&amp;DATE(2027,1,1))</f>
        <v/>
      </c>
      <c r="N20" s="7">
        <f>SUM(B20:M20)</f>
        <v/>
      </c>
    </row>
    <row r="21">
      <c r="A21" s="8" t="inlineStr">
        <is>
          <t>Deductible meals</t>
        </is>
      </c>
      <c r="B21" s="7">
        <f>SUMIFS(TablaGastos[Amount],TablaGastos[Category],$A21,TablaGastos[Date],"&gt;="&amp;DATE(2026,1,1),TablaGastos[Date],"&lt;"&amp;DATE(2026,2,1))</f>
        <v/>
      </c>
      <c r="C21" s="7">
        <f>SUMIFS(TablaGastos[Amount],TablaGastos[Category],$A21,TablaGastos[Date],"&gt;="&amp;DATE(2026,2,1),TablaGastos[Date],"&lt;"&amp;DATE(2026,3,1))</f>
        <v/>
      </c>
      <c r="D21" s="7">
        <f>SUMIFS(TablaGastos[Amount],TablaGastos[Category],$A21,TablaGastos[Date],"&gt;="&amp;DATE(2026,3,1),TablaGastos[Date],"&lt;"&amp;DATE(2026,4,1))</f>
        <v/>
      </c>
      <c r="E21" s="7">
        <f>SUMIFS(TablaGastos[Amount],TablaGastos[Category],$A21,TablaGastos[Date],"&gt;="&amp;DATE(2026,4,1),TablaGastos[Date],"&lt;"&amp;DATE(2026,5,1))</f>
        <v/>
      </c>
      <c r="F21" s="7">
        <f>SUMIFS(TablaGastos[Amount],TablaGastos[Category],$A21,TablaGastos[Date],"&gt;="&amp;DATE(2026,5,1),TablaGastos[Date],"&lt;"&amp;DATE(2026,6,1))</f>
        <v/>
      </c>
      <c r="G21" s="7">
        <f>SUMIFS(TablaGastos[Amount],TablaGastos[Category],$A21,TablaGastos[Date],"&gt;="&amp;DATE(2026,6,1),TablaGastos[Date],"&lt;"&amp;DATE(2026,7,1))</f>
        <v/>
      </c>
      <c r="H21" s="7">
        <f>SUMIFS(TablaGastos[Amount],TablaGastos[Category],$A21,TablaGastos[Date],"&gt;="&amp;DATE(2026,7,1),TablaGastos[Date],"&lt;"&amp;DATE(2026,8,1))</f>
        <v/>
      </c>
      <c r="I21" s="7">
        <f>SUMIFS(TablaGastos[Amount],TablaGastos[Category],$A21,TablaGastos[Date],"&gt;="&amp;DATE(2026,8,1),TablaGastos[Date],"&lt;"&amp;DATE(2026,9,1))</f>
        <v/>
      </c>
      <c r="J21" s="7">
        <f>SUMIFS(TablaGastos[Amount],TablaGastos[Category],$A21,TablaGastos[Date],"&gt;="&amp;DATE(2026,9,1),TablaGastos[Date],"&lt;"&amp;DATE(2026,10,1))</f>
        <v/>
      </c>
      <c r="K21" s="7">
        <f>SUMIFS(TablaGastos[Amount],TablaGastos[Category],$A21,TablaGastos[Date],"&gt;="&amp;DATE(2026,10,1),TablaGastos[Date],"&lt;"&amp;DATE(2026,11,1))</f>
        <v/>
      </c>
      <c r="L21" s="7">
        <f>SUMIFS(TablaGastos[Amount],TablaGastos[Category],$A21,TablaGastos[Date],"&gt;="&amp;DATE(2026,11,1),TablaGastos[Date],"&lt;"&amp;DATE(2026,12,1))</f>
        <v/>
      </c>
      <c r="M21" s="7">
        <f>SUMIFS(TablaGastos[Amount],TablaGastos[Category],$A21,TablaGastos[Date],"&gt;="&amp;DATE(2026,12,1),TablaGastos[Date],"&lt;"&amp;DATE(2027,1,1))</f>
        <v/>
      </c>
      <c r="N21" s="7">
        <f>SUM(B21:M21)</f>
        <v/>
      </c>
    </row>
    <row r="22">
      <c r="A22" s="8" t="inlineStr">
        <is>
          <t>Depreciation</t>
        </is>
      </c>
      <c r="B22" s="7">
        <f>SUMIFS(TablaGastos[Amount],TablaGastos[Category],$A22,TablaGastos[Date],"&gt;="&amp;DATE(2026,1,1),TablaGastos[Date],"&lt;"&amp;DATE(2026,2,1))</f>
        <v/>
      </c>
      <c r="C22" s="7">
        <f>SUMIFS(TablaGastos[Amount],TablaGastos[Category],$A22,TablaGastos[Date],"&gt;="&amp;DATE(2026,2,1),TablaGastos[Date],"&lt;"&amp;DATE(2026,3,1))</f>
        <v/>
      </c>
      <c r="D22" s="7">
        <f>SUMIFS(TablaGastos[Amount],TablaGastos[Category],$A22,TablaGastos[Date],"&gt;="&amp;DATE(2026,3,1),TablaGastos[Date],"&lt;"&amp;DATE(2026,4,1))</f>
        <v/>
      </c>
      <c r="E22" s="7">
        <f>SUMIFS(TablaGastos[Amount],TablaGastos[Category],$A22,TablaGastos[Date],"&gt;="&amp;DATE(2026,4,1),TablaGastos[Date],"&lt;"&amp;DATE(2026,5,1))</f>
        <v/>
      </c>
      <c r="F22" s="7">
        <f>SUMIFS(TablaGastos[Amount],TablaGastos[Category],$A22,TablaGastos[Date],"&gt;="&amp;DATE(2026,5,1),TablaGastos[Date],"&lt;"&amp;DATE(2026,6,1))</f>
        <v/>
      </c>
      <c r="G22" s="7">
        <f>SUMIFS(TablaGastos[Amount],TablaGastos[Category],$A22,TablaGastos[Date],"&gt;="&amp;DATE(2026,6,1),TablaGastos[Date],"&lt;"&amp;DATE(2026,7,1))</f>
        <v/>
      </c>
      <c r="H22" s="7">
        <f>SUMIFS(TablaGastos[Amount],TablaGastos[Category],$A22,TablaGastos[Date],"&gt;="&amp;DATE(2026,7,1),TablaGastos[Date],"&lt;"&amp;DATE(2026,8,1))</f>
        <v/>
      </c>
      <c r="I22" s="7">
        <f>SUMIFS(TablaGastos[Amount],TablaGastos[Category],$A22,TablaGastos[Date],"&gt;="&amp;DATE(2026,8,1),TablaGastos[Date],"&lt;"&amp;DATE(2026,9,1))</f>
        <v/>
      </c>
      <c r="J22" s="7">
        <f>SUMIFS(TablaGastos[Amount],TablaGastos[Category],$A22,TablaGastos[Date],"&gt;="&amp;DATE(2026,9,1),TablaGastos[Date],"&lt;"&amp;DATE(2026,10,1))</f>
        <v/>
      </c>
      <c r="K22" s="7">
        <f>SUMIFS(TablaGastos[Amount],TablaGastos[Category],$A22,TablaGastos[Date],"&gt;="&amp;DATE(2026,10,1),TablaGastos[Date],"&lt;"&amp;DATE(2026,11,1))</f>
        <v/>
      </c>
      <c r="L22" s="7">
        <f>SUMIFS(TablaGastos[Amount],TablaGastos[Category],$A22,TablaGastos[Date],"&gt;="&amp;DATE(2026,11,1),TablaGastos[Date],"&lt;"&amp;DATE(2026,12,1))</f>
        <v/>
      </c>
      <c r="M22" s="7">
        <f>SUMIFS(TablaGastos[Amount],TablaGastos[Category],$A22,TablaGastos[Date],"&gt;="&amp;DATE(2026,12,1),TablaGastos[Date],"&lt;"&amp;DATE(2027,1,1))</f>
        <v/>
      </c>
      <c r="N22" s="7">
        <f>SUM(B22:M22)</f>
        <v/>
      </c>
    </row>
    <row r="23">
      <c r="A23" s="8" t="inlineStr">
        <is>
          <t>Employee benefit programs</t>
        </is>
      </c>
      <c r="B23" s="7">
        <f>SUMIFS(TablaGastos[Amount],TablaGastos[Category],$A23,TablaGastos[Date],"&gt;="&amp;DATE(2026,1,1),TablaGastos[Date],"&lt;"&amp;DATE(2026,2,1))</f>
        <v/>
      </c>
      <c r="C23" s="7">
        <f>SUMIFS(TablaGastos[Amount],TablaGastos[Category],$A23,TablaGastos[Date],"&gt;="&amp;DATE(2026,2,1),TablaGastos[Date],"&lt;"&amp;DATE(2026,3,1))</f>
        <v/>
      </c>
      <c r="D23" s="7">
        <f>SUMIFS(TablaGastos[Amount],TablaGastos[Category],$A23,TablaGastos[Date],"&gt;="&amp;DATE(2026,3,1),TablaGastos[Date],"&lt;"&amp;DATE(2026,4,1))</f>
        <v/>
      </c>
      <c r="E23" s="7">
        <f>SUMIFS(TablaGastos[Amount],TablaGastos[Category],$A23,TablaGastos[Date],"&gt;="&amp;DATE(2026,4,1),TablaGastos[Date],"&lt;"&amp;DATE(2026,5,1))</f>
        <v/>
      </c>
      <c r="F23" s="7">
        <f>SUMIFS(TablaGastos[Amount],TablaGastos[Category],$A23,TablaGastos[Date],"&gt;="&amp;DATE(2026,5,1),TablaGastos[Date],"&lt;"&amp;DATE(2026,6,1))</f>
        <v/>
      </c>
      <c r="G23" s="7">
        <f>SUMIFS(TablaGastos[Amount],TablaGastos[Category],$A23,TablaGastos[Date],"&gt;="&amp;DATE(2026,6,1),TablaGastos[Date],"&lt;"&amp;DATE(2026,7,1))</f>
        <v/>
      </c>
      <c r="H23" s="7">
        <f>SUMIFS(TablaGastos[Amount],TablaGastos[Category],$A23,TablaGastos[Date],"&gt;="&amp;DATE(2026,7,1),TablaGastos[Date],"&lt;"&amp;DATE(2026,8,1))</f>
        <v/>
      </c>
      <c r="I23" s="7">
        <f>SUMIFS(TablaGastos[Amount],TablaGastos[Category],$A23,TablaGastos[Date],"&gt;="&amp;DATE(2026,8,1),TablaGastos[Date],"&lt;"&amp;DATE(2026,9,1))</f>
        <v/>
      </c>
      <c r="J23" s="7">
        <f>SUMIFS(TablaGastos[Amount],TablaGastos[Category],$A23,TablaGastos[Date],"&gt;="&amp;DATE(2026,9,1),TablaGastos[Date],"&lt;"&amp;DATE(2026,10,1))</f>
        <v/>
      </c>
      <c r="K23" s="7">
        <f>SUMIFS(TablaGastos[Amount],TablaGastos[Category],$A23,TablaGastos[Date],"&gt;="&amp;DATE(2026,10,1),TablaGastos[Date],"&lt;"&amp;DATE(2026,11,1))</f>
        <v/>
      </c>
      <c r="L23" s="7">
        <f>SUMIFS(TablaGastos[Amount],TablaGastos[Category],$A23,TablaGastos[Date],"&gt;="&amp;DATE(2026,11,1),TablaGastos[Date],"&lt;"&amp;DATE(2026,12,1))</f>
        <v/>
      </c>
      <c r="M23" s="7">
        <f>SUMIFS(TablaGastos[Amount],TablaGastos[Category],$A23,TablaGastos[Date],"&gt;="&amp;DATE(2026,12,1),TablaGastos[Date],"&lt;"&amp;DATE(2027,1,1))</f>
        <v/>
      </c>
      <c r="N23" s="7">
        <f>SUM(B23:M23)</f>
        <v/>
      </c>
    </row>
    <row r="24">
      <c r="A24" s="8" t="inlineStr">
        <is>
          <t>Insurance</t>
        </is>
      </c>
      <c r="B24" s="7">
        <f>SUMIFS(TablaGastos[Amount],TablaGastos[Category],$A24,TablaGastos[Date],"&gt;="&amp;DATE(2026,1,1),TablaGastos[Date],"&lt;"&amp;DATE(2026,2,1))</f>
        <v/>
      </c>
      <c r="C24" s="7">
        <f>SUMIFS(TablaGastos[Amount],TablaGastos[Category],$A24,TablaGastos[Date],"&gt;="&amp;DATE(2026,2,1),TablaGastos[Date],"&lt;"&amp;DATE(2026,3,1))</f>
        <v/>
      </c>
      <c r="D24" s="7">
        <f>SUMIFS(TablaGastos[Amount],TablaGastos[Category],$A24,TablaGastos[Date],"&gt;="&amp;DATE(2026,3,1),TablaGastos[Date],"&lt;"&amp;DATE(2026,4,1))</f>
        <v/>
      </c>
      <c r="E24" s="7">
        <f>SUMIFS(TablaGastos[Amount],TablaGastos[Category],$A24,TablaGastos[Date],"&gt;="&amp;DATE(2026,4,1),TablaGastos[Date],"&lt;"&amp;DATE(2026,5,1))</f>
        <v/>
      </c>
      <c r="F24" s="7">
        <f>SUMIFS(TablaGastos[Amount],TablaGastos[Category],$A24,TablaGastos[Date],"&gt;="&amp;DATE(2026,5,1),TablaGastos[Date],"&lt;"&amp;DATE(2026,6,1))</f>
        <v/>
      </c>
      <c r="G24" s="7">
        <f>SUMIFS(TablaGastos[Amount],TablaGastos[Category],$A24,TablaGastos[Date],"&gt;="&amp;DATE(2026,6,1),TablaGastos[Date],"&lt;"&amp;DATE(2026,7,1))</f>
        <v/>
      </c>
      <c r="H24" s="7">
        <f>SUMIFS(TablaGastos[Amount],TablaGastos[Category],$A24,TablaGastos[Date],"&gt;="&amp;DATE(2026,7,1),TablaGastos[Date],"&lt;"&amp;DATE(2026,8,1))</f>
        <v/>
      </c>
      <c r="I24" s="7">
        <f>SUMIFS(TablaGastos[Amount],TablaGastos[Category],$A24,TablaGastos[Date],"&gt;="&amp;DATE(2026,8,1),TablaGastos[Date],"&lt;"&amp;DATE(2026,9,1))</f>
        <v/>
      </c>
      <c r="J24" s="7">
        <f>SUMIFS(TablaGastos[Amount],TablaGastos[Category],$A24,TablaGastos[Date],"&gt;="&amp;DATE(2026,9,1),TablaGastos[Date],"&lt;"&amp;DATE(2026,10,1))</f>
        <v/>
      </c>
      <c r="K24" s="7">
        <f>SUMIFS(TablaGastos[Amount],TablaGastos[Category],$A24,TablaGastos[Date],"&gt;="&amp;DATE(2026,10,1),TablaGastos[Date],"&lt;"&amp;DATE(2026,11,1))</f>
        <v/>
      </c>
      <c r="L24" s="7">
        <f>SUMIFS(TablaGastos[Amount],TablaGastos[Category],$A24,TablaGastos[Date],"&gt;="&amp;DATE(2026,11,1),TablaGastos[Date],"&lt;"&amp;DATE(2026,12,1))</f>
        <v/>
      </c>
      <c r="M24" s="7">
        <f>SUMIFS(TablaGastos[Amount],TablaGastos[Category],$A24,TablaGastos[Date],"&gt;="&amp;DATE(2026,12,1),TablaGastos[Date],"&lt;"&amp;DATE(2027,1,1))</f>
        <v/>
      </c>
      <c r="N24" s="7">
        <f>SUM(B24:M24)</f>
        <v/>
      </c>
    </row>
    <row r="25">
      <c r="A25" s="8" t="inlineStr">
        <is>
          <t>Interest</t>
        </is>
      </c>
      <c r="B25" s="7">
        <f>SUMIFS(TablaGastos[Amount],TablaGastos[Category],$A25,TablaGastos[Date],"&gt;="&amp;DATE(2026,1,1),TablaGastos[Date],"&lt;"&amp;DATE(2026,2,1))</f>
        <v/>
      </c>
      <c r="C25" s="7">
        <f>SUMIFS(TablaGastos[Amount],TablaGastos[Category],$A25,TablaGastos[Date],"&gt;="&amp;DATE(2026,2,1),TablaGastos[Date],"&lt;"&amp;DATE(2026,3,1))</f>
        <v/>
      </c>
      <c r="D25" s="7">
        <f>SUMIFS(TablaGastos[Amount],TablaGastos[Category],$A25,TablaGastos[Date],"&gt;="&amp;DATE(2026,3,1),TablaGastos[Date],"&lt;"&amp;DATE(2026,4,1))</f>
        <v/>
      </c>
      <c r="E25" s="7">
        <f>SUMIFS(TablaGastos[Amount],TablaGastos[Category],$A25,TablaGastos[Date],"&gt;="&amp;DATE(2026,4,1),TablaGastos[Date],"&lt;"&amp;DATE(2026,5,1))</f>
        <v/>
      </c>
      <c r="F25" s="7">
        <f>SUMIFS(TablaGastos[Amount],TablaGastos[Category],$A25,TablaGastos[Date],"&gt;="&amp;DATE(2026,5,1),TablaGastos[Date],"&lt;"&amp;DATE(2026,6,1))</f>
        <v/>
      </c>
      <c r="G25" s="7">
        <f>SUMIFS(TablaGastos[Amount],TablaGastos[Category],$A25,TablaGastos[Date],"&gt;="&amp;DATE(2026,6,1),TablaGastos[Date],"&lt;"&amp;DATE(2026,7,1))</f>
        <v/>
      </c>
      <c r="H25" s="7">
        <f>SUMIFS(TablaGastos[Amount],TablaGastos[Category],$A25,TablaGastos[Date],"&gt;="&amp;DATE(2026,7,1),TablaGastos[Date],"&lt;"&amp;DATE(2026,8,1))</f>
        <v/>
      </c>
      <c r="I25" s="7">
        <f>SUMIFS(TablaGastos[Amount],TablaGastos[Category],$A25,TablaGastos[Date],"&gt;="&amp;DATE(2026,8,1),TablaGastos[Date],"&lt;"&amp;DATE(2026,9,1))</f>
        <v/>
      </c>
      <c r="J25" s="7">
        <f>SUMIFS(TablaGastos[Amount],TablaGastos[Category],$A25,TablaGastos[Date],"&gt;="&amp;DATE(2026,9,1),TablaGastos[Date],"&lt;"&amp;DATE(2026,10,1))</f>
        <v/>
      </c>
      <c r="K25" s="7">
        <f>SUMIFS(TablaGastos[Amount],TablaGastos[Category],$A25,TablaGastos[Date],"&gt;="&amp;DATE(2026,10,1),TablaGastos[Date],"&lt;"&amp;DATE(2026,11,1))</f>
        <v/>
      </c>
      <c r="L25" s="7">
        <f>SUMIFS(TablaGastos[Amount],TablaGastos[Category],$A25,TablaGastos[Date],"&gt;="&amp;DATE(2026,11,1),TablaGastos[Date],"&lt;"&amp;DATE(2026,12,1))</f>
        <v/>
      </c>
      <c r="M25" s="7">
        <f>SUMIFS(TablaGastos[Amount],TablaGastos[Category],$A25,TablaGastos[Date],"&gt;="&amp;DATE(2026,12,1),TablaGastos[Date],"&lt;"&amp;DATE(2027,1,1))</f>
        <v/>
      </c>
      <c r="N25" s="7">
        <f>SUM(B25:M25)</f>
        <v/>
      </c>
    </row>
    <row r="26">
      <c r="A26" s="8" t="inlineStr">
        <is>
          <t>Legal and professional services</t>
        </is>
      </c>
      <c r="B26" s="7">
        <f>SUMIFS(TablaGastos[Amount],TablaGastos[Category],$A26,TablaGastos[Date],"&gt;="&amp;DATE(2026,1,1),TablaGastos[Date],"&lt;"&amp;DATE(2026,2,1))</f>
        <v/>
      </c>
      <c r="C26" s="7">
        <f>SUMIFS(TablaGastos[Amount],TablaGastos[Category],$A26,TablaGastos[Date],"&gt;="&amp;DATE(2026,2,1),TablaGastos[Date],"&lt;"&amp;DATE(2026,3,1))</f>
        <v/>
      </c>
      <c r="D26" s="7">
        <f>SUMIFS(TablaGastos[Amount],TablaGastos[Category],$A26,TablaGastos[Date],"&gt;="&amp;DATE(2026,3,1),TablaGastos[Date],"&lt;"&amp;DATE(2026,4,1))</f>
        <v/>
      </c>
      <c r="E26" s="7">
        <f>SUMIFS(TablaGastos[Amount],TablaGastos[Category],$A26,TablaGastos[Date],"&gt;="&amp;DATE(2026,4,1),TablaGastos[Date],"&lt;"&amp;DATE(2026,5,1))</f>
        <v/>
      </c>
      <c r="F26" s="7">
        <f>SUMIFS(TablaGastos[Amount],TablaGastos[Category],$A26,TablaGastos[Date],"&gt;="&amp;DATE(2026,5,1),TablaGastos[Date],"&lt;"&amp;DATE(2026,6,1))</f>
        <v/>
      </c>
      <c r="G26" s="7">
        <f>SUMIFS(TablaGastos[Amount],TablaGastos[Category],$A26,TablaGastos[Date],"&gt;="&amp;DATE(2026,6,1),TablaGastos[Date],"&lt;"&amp;DATE(2026,7,1))</f>
        <v/>
      </c>
      <c r="H26" s="7">
        <f>SUMIFS(TablaGastos[Amount],TablaGastos[Category],$A26,TablaGastos[Date],"&gt;="&amp;DATE(2026,7,1),TablaGastos[Date],"&lt;"&amp;DATE(2026,8,1))</f>
        <v/>
      </c>
      <c r="I26" s="7">
        <f>SUMIFS(TablaGastos[Amount],TablaGastos[Category],$A26,TablaGastos[Date],"&gt;="&amp;DATE(2026,8,1),TablaGastos[Date],"&lt;"&amp;DATE(2026,9,1))</f>
        <v/>
      </c>
      <c r="J26" s="7">
        <f>SUMIFS(TablaGastos[Amount],TablaGastos[Category],$A26,TablaGastos[Date],"&gt;="&amp;DATE(2026,9,1),TablaGastos[Date],"&lt;"&amp;DATE(2026,10,1))</f>
        <v/>
      </c>
      <c r="K26" s="7">
        <f>SUMIFS(TablaGastos[Amount],TablaGastos[Category],$A26,TablaGastos[Date],"&gt;="&amp;DATE(2026,10,1),TablaGastos[Date],"&lt;"&amp;DATE(2026,11,1))</f>
        <v/>
      </c>
      <c r="L26" s="7">
        <f>SUMIFS(TablaGastos[Amount],TablaGastos[Category],$A26,TablaGastos[Date],"&gt;="&amp;DATE(2026,11,1),TablaGastos[Date],"&lt;"&amp;DATE(2026,12,1))</f>
        <v/>
      </c>
      <c r="M26" s="7">
        <f>SUMIFS(TablaGastos[Amount],TablaGastos[Category],$A26,TablaGastos[Date],"&gt;="&amp;DATE(2026,12,1),TablaGastos[Date],"&lt;"&amp;DATE(2027,1,1))</f>
        <v/>
      </c>
      <c r="N26" s="7">
        <f>SUM(B26:M26)</f>
        <v/>
      </c>
    </row>
    <row r="27">
      <c r="A27" s="8" t="inlineStr">
        <is>
          <t>Office expense</t>
        </is>
      </c>
      <c r="B27" s="7">
        <f>SUMIFS(TablaGastos[Amount],TablaGastos[Category],$A27,TablaGastos[Date],"&gt;="&amp;DATE(2026,1,1),TablaGastos[Date],"&lt;"&amp;DATE(2026,2,1))</f>
        <v/>
      </c>
      <c r="C27" s="7">
        <f>SUMIFS(TablaGastos[Amount],TablaGastos[Category],$A27,TablaGastos[Date],"&gt;="&amp;DATE(2026,2,1),TablaGastos[Date],"&lt;"&amp;DATE(2026,3,1))</f>
        <v/>
      </c>
      <c r="D27" s="7">
        <f>SUMIFS(TablaGastos[Amount],TablaGastos[Category],$A27,TablaGastos[Date],"&gt;="&amp;DATE(2026,3,1),TablaGastos[Date],"&lt;"&amp;DATE(2026,4,1))</f>
        <v/>
      </c>
      <c r="E27" s="7">
        <f>SUMIFS(TablaGastos[Amount],TablaGastos[Category],$A27,TablaGastos[Date],"&gt;="&amp;DATE(2026,4,1),TablaGastos[Date],"&lt;"&amp;DATE(2026,5,1))</f>
        <v/>
      </c>
      <c r="F27" s="7">
        <f>SUMIFS(TablaGastos[Amount],TablaGastos[Category],$A27,TablaGastos[Date],"&gt;="&amp;DATE(2026,5,1),TablaGastos[Date],"&lt;"&amp;DATE(2026,6,1))</f>
        <v/>
      </c>
      <c r="G27" s="7">
        <f>SUMIFS(TablaGastos[Amount],TablaGastos[Category],$A27,TablaGastos[Date],"&gt;="&amp;DATE(2026,6,1),TablaGastos[Date],"&lt;"&amp;DATE(2026,7,1))</f>
        <v/>
      </c>
      <c r="H27" s="7">
        <f>SUMIFS(TablaGastos[Amount],TablaGastos[Category],$A27,TablaGastos[Date],"&gt;="&amp;DATE(2026,7,1),TablaGastos[Date],"&lt;"&amp;DATE(2026,8,1))</f>
        <v/>
      </c>
      <c r="I27" s="7">
        <f>SUMIFS(TablaGastos[Amount],TablaGastos[Category],$A27,TablaGastos[Date],"&gt;="&amp;DATE(2026,8,1),TablaGastos[Date],"&lt;"&amp;DATE(2026,9,1))</f>
        <v/>
      </c>
      <c r="J27" s="7">
        <f>SUMIFS(TablaGastos[Amount],TablaGastos[Category],$A27,TablaGastos[Date],"&gt;="&amp;DATE(2026,9,1),TablaGastos[Date],"&lt;"&amp;DATE(2026,10,1))</f>
        <v/>
      </c>
      <c r="K27" s="7">
        <f>SUMIFS(TablaGastos[Amount],TablaGastos[Category],$A27,TablaGastos[Date],"&gt;="&amp;DATE(2026,10,1),TablaGastos[Date],"&lt;"&amp;DATE(2026,11,1))</f>
        <v/>
      </c>
      <c r="L27" s="7">
        <f>SUMIFS(TablaGastos[Amount],TablaGastos[Category],$A27,TablaGastos[Date],"&gt;="&amp;DATE(2026,11,1),TablaGastos[Date],"&lt;"&amp;DATE(2026,12,1))</f>
        <v/>
      </c>
      <c r="M27" s="7">
        <f>SUMIFS(TablaGastos[Amount],TablaGastos[Category],$A27,TablaGastos[Date],"&gt;="&amp;DATE(2026,12,1),TablaGastos[Date],"&lt;"&amp;DATE(2027,1,1))</f>
        <v/>
      </c>
      <c r="N27" s="7">
        <f>SUM(B27:M27)</f>
        <v/>
      </c>
    </row>
    <row r="28">
      <c r="A28" s="8" t="inlineStr">
        <is>
          <t>Rent or lease</t>
        </is>
      </c>
      <c r="B28" s="7">
        <f>SUMIFS(TablaGastos[Amount],TablaGastos[Category],$A28,TablaGastos[Date],"&gt;="&amp;DATE(2026,1,1),TablaGastos[Date],"&lt;"&amp;DATE(2026,2,1))</f>
        <v/>
      </c>
      <c r="C28" s="7">
        <f>SUMIFS(TablaGastos[Amount],TablaGastos[Category],$A28,TablaGastos[Date],"&gt;="&amp;DATE(2026,2,1),TablaGastos[Date],"&lt;"&amp;DATE(2026,3,1))</f>
        <v/>
      </c>
      <c r="D28" s="7">
        <f>SUMIFS(TablaGastos[Amount],TablaGastos[Category],$A28,TablaGastos[Date],"&gt;="&amp;DATE(2026,3,1),TablaGastos[Date],"&lt;"&amp;DATE(2026,4,1))</f>
        <v/>
      </c>
      <c r="E28" s="7">
        <f>SUMIFS(TablaGastos[Amount],TablaGastos[Category],$A28,TablaGastos[Date],"&gt;="&amp;DATE(2026,4,1),TablaGastos[Date],"&lt;"&amp;DATE(2026,5,1))</f>
        <v/>
      </c>
      <c r="F28" s="7">
        <f>SUMIFS(TablaGastos[Amount],TablaGastos[Category],$A28,TablaGastos[Date],"&gt;="&amp;DATE(2026,5,1),TablaGastos[Date],"&lt;"&amp;DATE(2026,6,1))</f>
        <v/>
      </c>
      <c r="G28" s="7">
        <f>SUMIFS(TablaGastos[Amount],TablaGastos[Category],$A28,TablaGastos[Date],"&gt;="&amp;DATE(2026,6,1),TablaGastos[Date],"&lt;"&amp;DATE(2026,7,1))</f>
        <v/>
      </c>
      <c r="H28" s="7">
        <f>SUMIFS(TablaGastos[Amount],TablaGastos[Category],$A28,TablaGastos[Date],"&gt;="&amp;DATE(2026,7,1),TablaGastos[Date],"&lt;"&amp;DATE(2026,8,1))</f>
        <v/>
      </c>
      <c r="I28" s="7">
        <f>SUMIFS(TablaGastos[Amount],TablaGastos[Category],$A28,TablaGastos[Date],"&gt;="&amp;DATE(2026,8,1),TablaGastos[Date],"&lt;"&amp;DATE(2026,9,1))</f>
        <v/>
      </c>
      <c r="J28" s="7">
        <f>SUMIFS(TablaGastos[Amount],TablaGastos[Category],$A28,TablaGastos[Date],"&gt;="&amp;DATE(2026,9,1),TablaGastos[Date],"&lt;"&amp;DATE(2026,10,1))</f>
        <v/>
      </c>
      <c r="K28" s="7">
        <f>SUMIFS(TablaGastos[Amount],TablaGastos[Category],$A28,TablaGastos[Date],"&gt;="&amp;DATE(2026,10,1),TablaGastos[Date],"&lt;"&amp;DATE(2026,11,1))</f>
        <v/>
      </c>
      <c r="L28" s="7">
        <f>SUMIFS(TablaGastos[Amount],TablaGastos[Category],$A28,TablaGastos[Date],"&gt;="&amp;DATE(2026,11,1),TablaGastos[Date],"&lt;"&amp;DATE(2026,12,1))</f>
        <v/>
      </c>
      <c r="M28" s="7">
        <f>SUMIFS(TablaGastos[Amount],TablaGastos[Category],$A28,TablaGastos[Date],"&gt;="&amp;DATE(2026,12,1),TablaGastos[Date],"&lt;"&amp;DATE(2027,1,1))</f>
        <v/>
      </c>
      <c r="N28" s="7">
        <f>SUM(B28:M28)</f>
        <v/>
      </c>
    </row>
    <row r="29">
      <c r="A29" s="8" t="inlineStr">
        <is>
          <t>Repairs and maintenance</t>
        </is>
      </c>
      <c r="B29" s="7">
        <f>SUMIFS(TablaGastos[Amount],TablaGastos[Category],$A29,TablaGastos[Date],"&gt;="&amp;DATE(2026,1,1),TablaGastos[Date],"&lt;"&amp;DATE(2026,2,1))</f>
        <v/>
      </c>
      <c r="C29" s="7">
        <f>SUMIFS(TablaGastos[Amount],TablaGastos[Category],$A29,TablaGastos[Date],"&gt;="&amp;DATE(2026,2,1),TablaGastos[Date],"&lt;"&amp;DATE(2026,3,1))</f>
        <v/>
      </c>
      <c r="D29" s="7">
        <f>SUMIFS(TablaGastos[Amount],TablaGastos[Category],$A29,TablaGastos[Date],"&gt;="&amp;DATE(2026,3,1),TablaGastos[Date],"&lt;"&amp;DATE(2026,4,1))</f>
        <v/>
      </c>
      <c r="E29" s="7">
        <f>SUMIFS(TablaGastos[Amount],TablaGastos[Category],$A29,TablaGastos[Date],"&gt;="&amp;DATE(2026,4,1),TablaGastos[Date],"&lt;"&amp;DATE(2026,5,1))</f>
        <v/>
      </c>
      <c r="F29" s="7">
        <f>SUMIFS(TablaGastos[Amount],TablaGastos[Category],$A29,TablaGastos[Date],"&gt;="&amp;DATE(2026,5,1),TablaGastos[Date],"&lt;"&amp;DATE(2026,6,1))</f>
        <v/>
      </c>
      <c r="G29" s="7">
        <f>SUMIFS(TablaGastos[Amount],TablaGastos[Category],$A29,TablaGastos[Date],"&gt;="&amp;DATE(2026,6,1),TablaGastos[Date],"&lt;"&amp;DATE(2026,7,1))</f>
        <v/>
      </c>
      <c r="H29" s="7">
        <f>SUMIFS(TablaGastos[Amount],TablaGastos[Category],$A29,TablaGastos[Date],"&gt;="&amp;DATE(2026,7,1),TablaGastos[Date],"&lt;"&amp;DATE(2026,8,1))</f>
        <v/>
      </c>
      <c r="I29" s="7">
        <f>SUMIFS(TablaGastos[Amount],TablaGastos[Category],$A29,TablaGastos[Date],"&gt;="&amp;DATE(2026,8,1),TablaGastos[Date],"&lt;"&amp;DATE(2026,9,1))</f>
        <v/>
      </c>
      <c r="J29" s="7">
        <f>SUMIFS(TablaGastos[Amount],TablaGastos[Category],$A29,TablaGastos[Date],"&gt;="&amp;DATE(2026,9,1),TablaGastos[Date],"&lt;"&amp;DATE(2026,10,1))</f>
        <v/>
      </c>
      <c r="K29" s="7">
        <f>SUMIFS(TablaGastos[Amount],TablaGastos[Category],$A29,TablaGastos[Date],"&gt;="&amp;DATE(2026,10,1),TablaGastos[Date],"&lt;"&amp;DATE(2026,11,1))</f>
        <v/>
      </c>
      <c r="L29" s="7">
        <f>SUMIFS(TablaGastos[Amount],TablaGastos[Category],$A29,TablaGastos[Date],"&gt;="&amp;DATE(2026,11,1),TablaGastos[Date],"&lt;"&amp;DATE(2026,12,1))</f>
        <v/>
      </c>
      <c r="M29" s="7">
        <f>SUMIFS(TablaGastos[Amount],TablaGastos[Category],$A29,TablaGastos[Date],"&gt;="&amp;DATE(2026,12,1),TablaGastos[Date],"&lt;"&amp;DATE(2027,1,1))</f>
        <v/>
      </c>
      <c r="N29" s="7">
        <f>SUM(B29:M29)</f>
        <v/>
      </c>
    </row>
    <row r="30">
      <c r="A30" s="8" t="inlineStr">
        <is>
          <t>Salaries and wages</t>
        </is>
      </c>
      <c r="B30" s="7">
        <f>SUMIFS(TablaGastos[Amount],TablaGastos[Category],$A30,TablaGastos[Date],"&gt;="&amp;DATE(2026,1,1),TablaGastos[Date],"&lt;"&amp;DATE(2026,2,1))</f>
        <v/>
      </c>
      <c r="C30" s="7">
        <f>SUMIFS(TablaGastos[Amount],TablaGastos[Category],$A30,TablaGastos[Date],"&gt;="&amp;DATE(2026,2,1),TablaGastos[Date],"&lt;"&amp;DATE(2026,3,1))</f>
        <v/>
      </c>
      <c r="D30" s="7">
        <f>SUMIFS(TablaGastos[Amount],TablaGastos[Category],$A30,TablaGastos[Date],"&gt;="&amp;DATE(2026,3,1),TablaGastos[Date],"&lt;"&amp;DATE(2026,4,1))</f>
        <v/>
      </c>
      <c r="E30" s="7">
        <f>SUMIFS(TablaGastos[Amount],TablaGastos[Category],$A30,TablaGastos[Date],"&gt;="&amp;DATE(2026,4,1),TablaGastos[Date],"&lt;"&amp;DATE(2026,5,1))</f>
        <v/>
      </c>
      <c r="F30" s="7">
        <f>SUMIFS(TablaGastos[Amount],TablaGastos[Category],$A30,TablaGastos[Date],"&gt;="&amp;DATE(2026,5,1),TablaGastos[Date],"&lt;"&amp;DATE(2026,6,1))</f>
        <v/>
      </c>
      <c r="G30" s="7">
        <f>SUMIFS(TablaGastos[Amount],TablaGastos[Category],$A30,TablaGastos[Date],"&gt;="&amp;DATE(2026,6,1),TablaGastos[Date],"&lt;"&amp;DATE(2026,7,1))</f>
        <v/>
      </c>
      <c r="H30" s="7">
        <f>SUMIFS(TablaGastos[Amount],TablaGastos[Category],$A30,TablaGastos[Date],"&gt;="&amp;DATE(2026,7,1),TablaGastos[Date],"&lt;"&amp;DATE(2026,8,1))</f>
        <v/>
      </c>
      <c r="I30" s="7">
        <f>SUMIFS(TablaGastos[Amount],TablaGastos[Category],$A30,TablaGastos[Date],"&gt;="&amp;DATE(2026,8,1),TablaGastos[Date],"&lt;"&amp;DATE(2026,9,1))</f>
        <v/>
      </c>
      <c r="J30" s="7">
        <f>SUMIFS(TablaGastos[Amount],TablaGastos[Category],$A30,TablaGastos[Date],"&gt;="&amp;DATE(2026,9,1),TablaGastos[Date],"&lt;"&amp;DATE(2026,10,1))</f>
        <v/>
      </c>
      <c r="K30" s="7">
        <f>SUMIFS(TablaGastos[Amount],TablaGastos[Category],$A30,TablaGastos[Date],"&gt;="&amp;DATE(2026,10,1),TablaGastos[Date],"&lt;"&amp;DATE(2026,11,1))</f>
        <v/>
      </c>
      <c r="L30" s="7">
        <f>SUMIFS(TablaGastos[Amount],TablaGastos[Category],$A30,TablaGastos[Date],"&gt;="&amp;DATE(2026,11,1),TablaGastos[Date],"&lt;"&amp;DATE(2026,12,1))</f>
        <v/>
      </c>
      <c r="M30" s="7">
        <f>SUMIFS(TablaGastos[Amount],TablaGastos[Category],$A30,TablaGastos[Date],"&gt;="&amp;DATE(2026,12,1),TablaGastos[Date],"&lt;"&amp;DATE(2027,1,1))</f>
        <v/>
      </c>
      <c r="N30" s="7">
        <f>SUM(B30:M30)</f>
        <v/>
      </c>
    </row>
    <row r="31">
      <c r="A31" s="8" t="inlineStr">
        <is>
          <t>Supplies</t>
        </is>
      </c>
      <c r="B31" s="7">
        <f>SUMIFS(TablaGastos[Amount],TablaGastos[Category],$A31,TablaGastos[Date],"&gt;="&amp;DATE(2026,1,1),TablaGastos[Date],"&lt;"&amp;DATE(2026,2,1))</f>
        <v/>
      </c>
      <c r="C31" s="7">
        <f>SUMIFS(TablaGastos[Amount],TablaGastos[Category],$A31,TablaGastos[Date],"&gt;="&amp;DATE(2026,2,1),TablaGastos[Date],"&lt;"&amp;DATE(2026,3,1))</f>
        <v/>
      </c>
      <c r="D31" s="7">
        <f>SUMIFS(TablaGastos[Amount],TablaGastos[Category],$A31,TablaGastos[Date],"&gt;="&amp;DATE(2026,3,1),TablaGastos[Date],"&lt;"&amp;DATE(2026,4,1))</f>
        <v/>
      </c>
      <c r="E31" s="7">
        <f>SUMIFS(TablaGastos[Amount],TablaGastos[Category],$A31,TablaGastos[Date],"&gt;="&amp;DATE(2026,4,1),TablaGastos[Date],"&lt;"&amp;DATE(2026,5,1))</f>
        <v/>
      </c>
      <c r="F31" s="7">
        <f>SUMIFS(TablaGastos[Amount],TablaGastos[Category],$A31,TablaGastos[Date],"&gt;="&amp;DATE(2026,5,1),TablaGastos[Date],"&lt;"&amp;DATE(2026,6,1))</f>
        <v/>
      </c>
      <c r="G31" s="7">
        <f>SUMIFS(TablaGastos[Amount],TablaGastos[Category],$A31,TablaGastos[Date],"&gt;="&amp;DATE(2026,6,1),TablaGastos[Date],"&lt;"&amp;DATE(2026,7,1))</f>
        <v/>
      </c>
      <c r="H31" s="7">
        <f>SUMIFS(TablaGastos[Amount],TablaGastos[Category],$A31,TablaGastos[Date],"&gt;="&amp;DATE(2026,7,1),TablaGastos[Date],"&lt;"&amp;DATE(2026,8,1))</f>
        <v/>
      </c>
      <c r="I31" s="7">
        <f>SUMIFS(TablaGastos[Amount],TablaGastos[Category],$A31,TablaGastos[Date],"&gt;="&amp;DATE(2026,8,1),TablaGastos[Date],"&lt;"&amp;DATE(2026,9,1))</f>
        <v/>
      </c>
      <c r="J31" s="7">
        <f>SUMIFS(TablaGastos[Amount],TablaGastos[Category],$A31,TablaGastos[Date],"&gt;="&amp;DATE(2026,9,1),TablaGastos[Date],"&lt;"&amp;DATE(2026,10,1))</f>
        <v/>
      </c>
      <c r="K31" s="7">
        <f>SUMIFS(TablaGastos[Amount],TablaGastos[Category],$A31,TablaGastos[Date],"&gt;="&amp;DATE(2026,10,1),TablaGastos[Date],"&lt;"&amp;DATE(2026,11,1))</f>
        <v/>
      </c>
      <c r="L31" s="7">
        <f>SUMIFS(TablaGastos[Amount],TablaGastos[Category],$A31,TablaGastos[Date],"&gt;="&amp;DATE(2026,11,1),TablaGastos[Date],"&lt;"&amp;DATE(2026,12,1))</f>
        <v/>
      </c>
      <c r="M31" s="7">
        <f>SUMIFS(TablaGastos[Amount],TablaGastos[Category],$A31,TablaGastos[Date],"&gt;="&amp;DATE(2026,12,1),TablaGastos[Date],"&lt;"&amp;DATE(2027,1,1))</f>
        <v/>
      </c>
      <c r="N31" s="7">
        <f>SUM(B31:M31)</f>
        <v/>
      </c>
    </row>
    <row r="32">
      <c r="A32" s="8" t="inlineStr">
        <is>
          <t>Taxes and licenses</t>
        </is>
      </c>
      <c r="B32" s="7">
        <f>SUMIFS(TablaGastos[Amount],TablaGastos[Category],$A32,TablaGastos[Date],"&gt;="&amp;DATE(2026,1,1),TablaGastos[Date],"&lt;"&amp;DATE(2026,2,1))</f>
        <v/>
      </c>
      <c r="C32" s="7">
        <f>SUMIFS(TablaGastos[Amount],TablaGastos[Category],$A32,TablaGastos[Date],"&gt;="&amp;DATE(2026,2,1),TablaGastos[Date],"&lt;"&amp;DATE(2026,3,1))</f>
        <v/>
      </c>
      <c r="D32" s="7">
        <f>SUMIFS(TablaGastos[Amount],TablaGastos[Category],$A32,TablaGastos[Date],"&gt;="&amp;DATE(2026,3,1),TablaGastos[Date],"&lt;"&amp;DATE(2026,4,1))</f>
        <v/>
      </c>
      <c r="E32" s="7">
        <f>SUMIFS(TablaGastos[Amount],TablaGastos[Category],$A32,TablaGastos[Date],"&gt;="&amp;DATE(2026,4,1),TablaGastos[Date],"&lt;"&amp;DATE(2026,5,1))</f>
        <v/>
      </c>
      <c r="F32" s="7">
        <f>SUMIFS(TablaGastos[Amount],TablaGastos[Category],$A32,TablaGastos[Date],"&gt;="&amp;DATE(2026,5,1),TablaGastos[Date],"&lt;"&amp;DATE(2026,6,1))</f>
        <v/>
      </c>
      <c r="G32" s="7">
        <f>SUMIFS(TablaGastos[Amount],TablaGastos[Category],$A32,TablaGastos[Date],"&gt;="&amp;DATE(2026,6,1),TablaGastos[Date],"&lt;"&amp;DATE(2026,7,1))</f>
        <v/>
      </c>
      <c r="H32" s="7">
        <f>SUMIFS(TablaGastos[Amount],TablaGastos[Category],$A32,TablaGastos[Date],"&gt;="&amp;DATE(2026,7,1),TablaGastos[Date],"&lt;"&amp;DATE(2026,8,1))</f>
        <v/>
      </c>
      <c r="I32" s="7">
        <f>SUMIFS(TablaGastos[Amount],TablaGastos[Category],$A32,TablaGastos[Date],"&gt;="&amp;DATE(2026,8,1),TablaGastos[Date],"&lt;"&amp;DATE(2026,9,1))</f>
        <v/>
      </c>
      <c r="J32" s="7">
        <f>SUMIFS(TablaGastos[Amount],TablaGastos[Category],$A32,TablaGastos[Date],"&gt;="&amp;DATE(2026,9,1),TablaGastos[Date],"&lt;"&amp;DATE(2026,10,1))</f>
        <v/>
      </c>
      <c r="K32" s="7">
        <f>SUMIFS(TablaGastos[Amount],TablaGastos[Category],$A32,TablaGastos[Date],"&gt;="&amp;DATE(2026,10,1),TablaGastos[Date],"&lt;"&amp;DATE(2026,11,1))</f>
        <v/>
      </c>
      <c r="L32" s="7">
        <f>SUMIFS(TablaGastos[Amount],TablaGastos[Category],$A32,TablaGastos[Date],"&gt;="&amp;DATE(2026,11,1),TablaGastos[Date],"&lt;"&amp;DATE(2026,12,1))</f>
        <v/>
      </c>
      <c r="M32" s="7">
        <f>SUMIFS(TablaGastos[Amount],TablaGastos[Category],$A32,TablaGastos[Date],"&gt;="&amp;DATE(2026,12,1),TablaGastos[Date],"&lt;"&amp;DATE(2027,1,1))</f>
        <v/>
      </c>
      <c r="N32" s="7">
        <f>SUM(B32:M32)</f>
        <v/>
      </c>
    </row>
    <row r="33">
      <c r="A33" s="8" t="inlineStr">
        <is>
          <t>Travel</t>
        </is>
      </c>
      <c r="B33" s="7">
        <f>SUMIFS(TablaGastos[Amount],TablaGastos[Category],$A33,TablaGastos[Date],"&gt;="&amp;DATE(2026,1,1),TablaGastos[Date],"&lt;"&amp;DATE(2026,2,1))</f>
        <v/>
      </c>
      <c r="C33" s="7">
        <f>SUMIFS(TablaGastos[Amount],TablaGastos[Category],$A33,TablaGastos[Date],"&gt;="&amp;DATE(2026,2,1),TablaGastos[Date],"&lt;"&amp;DATE(2026,3,1))</f>
        <v/>
      </c>
      <c r="D33" s="7">
        <f>SUMIFS(TablaGastos[Amount],TablaGastos[Category],$A33,TablaGastos[Date],"&gt;="&amp;DATE(2026,3,1),TablaGastos[Date],"&lt;"&amp;DATE(2026,4,1))</f>
        <v/>
      </c>
      <c r="E33" s="7">
        <f>SUMIFS(TablaGastos[Amount],TablaGastos[Category],$A33,TablaGastos[Date],"&gt;="&amp;DATE(2026,4,1),TablaGastos[Date],"&lt;"&amp;DATE(2026,5,1))</f>
        <v/>
      </c>
      <c r="F33" s="7">
        <f>SUMIFS(TablaGastos[Amount],TablaGastos[Category],$A33,TablaGastos[Date],"&gt;="&amp;DATE(2026,5,1),TablaGastos[Date],"&lt;"&amp;DATE(2026,6,1))</f>
        <v/>
      </c>
      <c r="G33" s="7">
        <f>SUMIFS(TablaGastos[Amount],TablaGastos[Category],$A33,TablaGastos[Date],"&gt;="&amp;DATE(2026,6,1),TablaGastos[Date],"&lt;"&amp;DATE(2026,7,1))</f>
        <v/>
      </c>
      <c r="H33" s="7">
        <f>SUMIFS(TablaGastos[Amount],TablaGastos[Category],$A33,TablaGastos[Date],"&gt;="&amp;DATE(2026,7,1),TablaGastos[Date],"&lt;"&amp;DATE(2026,8,1))</f>
        <v/>
      </c>
      <c r="I33" s="7">
        <f>SUMIFS(TablaGastos[Amount],TablaGastos[Category],$A33,TablaGastos[Date],"&gt;="&amp;DATE(2026,8,1),TablaGastos[Date],"&lt;"&amp;DATE(2026,9,1))</f>
        <v/>
      </c>
      <c r="J33" s="7">
        <f>SUMIFS(TablaGastos[Amount],TablaGastos[Category],$A33,TablaGastos[Date],"&gt;="&amp;DATE(2026,9,1),TablaGastos[Date],"&lt;"&amp;DATE(2026,10,1))</f>
        <v/>
      </c>
      <c r="K33" s="7">
        <f>SUMIFS(TablaGastos[Amount],TablaGastos[Category],$A33,TablaGastos[Date],"&gt;="&amp;DATE(2026,10,1),TablaGastos[Date],"&lt;"&amp;DATE(2026,11,1))</f>
        <v/>
      </c>
      <c r="L33" s="7">
        <f>SUMIFS(TablaGastos[Amount],TablaGastos[Category],$A33,TablaGastos[Date],"&gt;="&amp;DATE(2026,11,1),TablaGastos[Date],"&lt;"&amp;DATE(2026,12,1))</f>
        <v/>
      </c>
      <c r="M33" s="7">
        <f>SUMIFS(TablaGastos[Amount],TablaGastos[Category],$A33,TablaGastos[Date],"&gt;="&amp;DATE(2026,12,1),TablaGastos[Date],"&lt;"&amp;DATE(2027,1,1))</f>
        <v/>
      </c>
      <c r="N33" s="7">
        <f>SUM(B33:M33)</f>
        <v/>
      </c>
    </row>
    <row r="34">
      <c r="A34" s="8" t="inlineStr">
        <is>
          <t>Utilities</t>
        </is>
      </c>
      <c r="B34" s="7">
        <f>SUMIFS(TablaGastos[Amount],TablaGastos[Category],$A34,TablaGastos[Date],"&gt;="&amp;DATE(2026,1,1),TablaGastos[Date],"&lt;"&amp;DATE(2026,2,1))</f>
        <v/>
      </c>
      <c r="C34" s="7">
        <f>SUMIFS(TablaGastos[Amount],TablaGastos[Category],$A34,TablaGastos[Date],"&gt;="&amp;DATE(2026,2,1),TablaGastos[Date],"&lt;"&amp;DATE(2026,3,1))</f>
        <v/>
      </c>
      <c r="D34" s="7">
        <f>SUMIFS(TablaGastos[Amount],TablaGastos[Category],$A34,TablaGastos[Date],"&gt;="&amp;DATE(2026,3,1),TablaGastos[Date],"&lt;"&amp;DATE(2026,4,1))</f>
        <v/>
      </c>
      <c r="E34" s="7">
        <f>SUMIFS(TablaGastos[Amount],TablaGastos[Category],$A34,TablaGastos[Date],"&gt;="&amp;DATE(2026,4,1),TablaGastos[Date],"&lt;"&amp;DATE(2026,5,1))</f>
        <v/>
      </c>
      <c r="F34" s="7">
        <f>SUMIFS(TablaGastos[Amount],TablaGastos[Category],$A34,TablaGastos[Date],"&gt;="&amp;DATE(2026,5,1),TablaGastos[Date],"&lt;"&amp;DATE(2026,6,1))</f>
        <v/>
      </c>
      <c r="G34" s="7">
        <f>SUMIFS(TablaGastos[Amount],TablaGastos[Category],$A34,TablaGastos[Date],"&gt;="&amp;DATE(2026,6,1),TablaGastos[Date],"&lt;"&amp;DATE(2026,7,1))</f>
        <v/>
      </c>
      <c r="H34" s="7">
        <f>SUMIFS(TablaGastos[Amount],TablaGastos[Category],$A34,TablaGastos[Date],"&gt;="&amp;DATE(2026,7,1),TablaGastos[Date],"&lt;"&amp;DATE(2026,8,1))</f>
        <v/>
      </c>
      <c r="I34" s="7">
        <f>SUMIFS(TablaGastos[Amount],TablaGastos[Category],$A34,TablaGastos[Date],"&gt;="&amp;DATE(2026,8,1),TablaGastos[Date],"&lt;"&amp;DATE(2026,9,1))</f>
        <v/>
      </c>
      <c r="J34" s="7">
        <f>SUMIFS(TablaGastos[Amount],TablaGastos[Category],$A34,TablaGastos[Date],"&gt;="&amp;DATE(2026,9,1),TablaGastos[Date],"&lt;"&amp;DATE(2026,10,1))</f>
        <v/>
      </c>
      <c r="K34" s="7">
        <f>SUMIFS(TablaGastos[Amount],TablaGastos[Category],$A34,TablaGastos[Date],"&gt;="&amp;DATE(2026,10,1),TablaGastos[Date],"&lt;"&amp;DATE(2026,11,1))</f>
        <v/>
      </c>
      <c r="L34" s="7">
        <f>SUMIFS(TablaGastos[Amount],TablaGastos[Category],$A34,TablaGastos[Date],"&gt;="&amp;DATE(2026,11,1),TablaGastos[Date],"&lt;"&amp;DATE(2026,12,1))</f>
        <v/>
      </c>
      <c r="M34" s="7">
        <f>SUMIFS(TablaGastos[Amount],TablaGastos[Category],$A34,TablaGastos[Date],"&gt;="&amp;DATE(2026,12,1),TablaGastos[Date],"&lt;"&amp;DATE(2027,1,1))</f>
        <v/>
      </c>
      <c r="N34" s="7">
        <f>SUM(B34:M34)</f>
        <v/>
      </c>
    </row>
    <row r="35">
      <c r="A35" s="8" t="inlineStr">
        <is>
          <t>Other expenses</t>
        </is>
      </c>
      <c r="B35" s="7">
        <f>SUMIFS(TablaGastos[Amount],TablaGastos[Category],$A35,TablaGastos[Date],"&gt;="&amp;DATE(2026,1,1),TablaGastos[Date],"&lt;"&amp;DATE(2026,2,1))</f>
        <v/>
      </c>
      <c r="C35" s="7">
        <f>SUMIFS(TablaGastos[Amount],TablaGastos[Category],$A35,TablaGastos[Date],"&gt;="&amp;DATE(2026,2,1),TablaGastos[Date],"&lt;"&amp;DATE(2026,3,1))</f>
        <v/>
      </c>
      <c r="D35" s="7">
        <f>SUMIFS(TablaGastos[Amount],TablaGastos[Category],$A35,TablaGastos[Date],"&gt;="&amp;DATE(2026,3,1),TablaGastos[Date],"&lt;"&amp;DATE(2026,4,1))</f>
        <v/>
      </c>
      <c r="E35" s="7">
        <f>SUMIFS(TablaGastos[Amount],TablaGastos[Category],$A35,TablaGastos[Date],"&gt;="&amp;DATE(2026,4,1),TablaGastos[Date],"&lt;"&amp;DATE(2026,5,1))</f>
        <v/>
      </c>
      <c r="F35" s="7">
        <f>SUMIFS(TablaGastos[Amount],TablaGastos[Category],$A35,TablaGastos[Date],"&gt;="&amp;DATE(2026,5,1),TablaGastos[Date],"&lt;"&amp;DATE(2026,6,1))</f>
        <v/>
      </c>
      <c r="G35" s="7">
        <f>SUMIFS(TablaGastos[Amount],TablaGastos[Category],$A35,TablaGastos[Date],"&gt;="&amp;DATE(2026,6,1),TablaGastos[Date],"&lt;"&amp;DATE(2026,7,1))</f>
        <v/>
      </c>
      <c r="H35" s="7">
        <f>SUMIFS(TablaGastos[Amount],TablaGastos[Category],$A35,TablaGastos[Date],"&gt;="&amp;DATE(2026,7,1),TablaGastos[Date],"&lt;"&amp;DATE(2026,8,1))</f>
        <v/>
      </c>
      <c r="I35" s="7">
        <f>SUMIFS(TablaGastos[Amount],TablaGastos[Category],$A35,TablaGastos[Date],"&gt;="&amp;DATE(2026,8,1),TablaGastos[Date],"&lt;"&amp;DATE(2026,9,1))</f>
        <v/>
      </c>
      <c r="J35" s="7">
        <f>SUMIFS(TablaGastos[Amount],TablaGastos[Category],$A35,TablaGastos[Date],"&gt;="&amp;DATE(2026,9,1),TablaGastos[Date],"&lt;"&amp;DATE(2026,10,1))</f>
        <v/>
      </c>
      <c r="K35" s="7">
        <f>SUMIFS(TablaGastos[Amount],TablaGastos[Category],$A35,TablaGastos[Date],"&gt;="&amp;DATE(2026,10,1),TablaGastos[Date],"&lt;"&amp;DATE(2026,11,1))</f>
        <v/>
      </c>
      <c r="L35" s="7">
        <f>SUMIFS(TablaGastos[Amount],TablaGastos[Category],$A35,TablaGastos[Date],"&gt;="&amp;DATE(2026,11,1),TablaGastos[Date],"&lt;"&amp;DATE(2026,12,1))</f>
        <v/>
      </c>
      <c r="M35" s="7">
        <f>SUMIFS(TablaGastos[Amount],TablaGastos[Category],$A35,TablaGastos[Date],"&gt;="&amp;DATE(2026,12,1),TablaGastos[Date],"&lt;"&amp;DATE(2027,1,1))</f>
        <v/>
      </c>
      <c r="N35" s="7">
        <f>SUM(B35:M35)</f>
        <v/>
      </c>
    </row>
    <row r="36">
      <c r="A36" s="8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75" t="inlineStr">
        <is>
          <t>NON-DEDUCTIBLE</t>
        </is>
      </c>
      <c r="B37" s="76" t="n"/>
      <c r="C37" s="76" t="n"/>
      <c r="D37" s="76" t="n"/>
      <c r="E37" s="76" t="n"/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</row>
    <row r="38">
      <c r="A38" s="8" t="inlineStr">
        <is>
          <t>Owner's Distribution</t>
        </is>
      </c>
      <c r="B38" s="7">
        <f>SUMIFS(TablaGastos[Amount],TablaGastos[Category],"Owner's Distribution",TablaGastos[Date],"&gt;="&amp;DATE(2026,1,1),TablaGastos[Date],"&lt;"&amp;DATE(2026,2,1))</f>
        <v/>
      </c>
      <c r="C38" s="7">
        <f>SUMIFS(TablaGastos[Amount],TablaGastos[Category],"Owner's Distribution",TablaGastos[Date],"&gt;="&amp;DATE(2026,2,1),TablaGastos[Date],"&lt;"&amp;DATE(2026,3,1))</f>
        <v/>
      </c>
      <c r="D38" s="7">
        <f>SUMIFS(TablaGastos[Amount],TablaGastos[Category],"Owner's Distribution",TablaGastos[Date],"&gt;="&amp;DATE(2026,3,1),TablaGastos[Date],"&lt;"&amp;DATE(2026,4,1))</f>
        <v/>
      </c>
      <c r="E38" s="7">
        <f>SUMIFS(TablaGastos[Amount],TablaGastos[Category],"Owner's Distribution",TablaGastos[Date],"&gt;="&amp;DATE(2026,4,1),TablaGastos[Date],"&lt;"&amp;DATE(2026,5,1))</f>
        <v/>
      </c>
      <c r="F38" s="7">
        <f>SUMIFS(TablaGastos[Amount],TablaGastos[Category],"Owner's Distribution",TablaGastos[Date],"&gt;="&amp;DATE(2026,5,1),TablaGastos[Date],"&lt;"&amp;DATE(2026,6,1))</f>
        <v/>
      </c>
      <c r="G38" s="7">
        <f>SUMIFS(TablaGastos[Amount],TablaGastos[Category],"Owner's Distribution",TablaGastos[Date],"&gt;="&amp;DATE(2026,6,1),TablaGastos[Date],"&lt;"&amp;DATE(2026,7,1))</f>
        <v/>
      </c>
      <c r="H38" s="7">
        <f>SUMIFS(TablaGastos[Amount],TablaGastos[Category],"Owner's Distribution",TablaGastos[Date],"&gt;="&amp;DATE(2026,7,1),TablaGastos[Date],"&lt;"&amp;DATE(2026,8,1))</f>
        <v/>
      </c>
      <c r="I38" s="7">
        <f>SUMIFS(TablaGastos[Amount],TablaGastos[Category],"Owner's Distribution",TablaGastos[Date],"&gt;="&amp;DATE(2026,8,1),TablaGastos[Date],"&lt;"&amp;DATE(2026,9,1))</f>
        <v/>
      </c>
      <c r="J38" s="7">
        <f>SUMIFS(TablaGastos[Amount],TablaGastos[Category],"Owner's Distribution",TablaGastos[Date],"&gt;="&amp;DATE(2026,9,1),TablaGastos[Date],"&lt;"&amp;DATE(2026,10,1))</f>
        <v/>
      </c>
      <c r="K38" s="7">
        <f>SUMIFS(TablaGastos[Amount],TablaGastos[Category],"Owner's Distribution",TablaGastos[Date],"&gt;="&amp;DATE(2026,10,1),TablaGastos[Date],"&lt;"&amp;DATE(2026,11,1))</f>
        <v/>
      </c>
      <c r="L38" s="7">
        <f>SUMIFS(TablaGastos[Amount],TablaGastos[Category],"Owner's Distribution",TablaGastos[Date],"&gt;="&amp;DATE(2026,11,1),TablaGastos[Date],"&lt;"&amp;DATE(2026,12,1))</f>
        <v/>
      </c>
      <c r="M38" s="7">
        <f>SUMIFS(TablaGastos[Amount],TablaGastos[Category],"Owner's Distribution",TablaGastos[Date],"&gt;="&amp;DATE(2026,12,1),TablaGastos[Date],"&lt;"&amp;DATE(2027,1,1))</f>
        <v/>
      </c>
      <c r="N38" s="7">
        <f>SUM(B38:M38)</f>
        <v/>
      </c>
    </row>
    <row r="39">
      <c r="A39" s="8" t="inlineStr">
        <is>
          <t>Loan - Principal</t>
        </is>
      </c>
      <c r="B39" s="7">
        <f>SUMIFS(TablaGastos[Amount],TablaGastos[Category],"Loan - Principal",TablaGastos[Date],"&gt;="&amp;DATE(2026,1,1),TablaGastos[Date],"&lt;"&amp;DATE(2026,2,1))</f>
        <v/>
      </c>
      <c r="C39" s="7">
        <f>SUMIFS(TablaGastos[Amount],TablaGastos[Category],"Loan - Principal",TablaGastos[Date],"&gt;="&amp;DATE(2026,2,1),TablaGastos[Date],"&lt;"&amp;DATE(2026,3,1))</f>
        <v/>
      </c>
      <c r="D39" s="7">
        <f>SUMIFS(TablaGastos[Amount],TablaGastos[Category],"Loan - Principal",TablaGastos[Date],"&gt;="&amp;DATE(2026,3,1),TablaGastos[Date],"&lt;"&amp;DATE(2026,4,1))</f>
        <v/>
      </c>
      <c r="E39" s="7">
        <f>SUMIFS(TablaGastos[Amount],TablaGastos[Category],"Loan - Principal",TablaGastos[Date],"&gt;="&amp;DATE(2026,4,1),TablaGastos[Date],"&lt;"&amp;DATE(2026,5,1))</f>
        <v/>
      </c>
      <c r="F39" s="7">
        <f>SUMIFS(TablaGastos[Amount],TablaGastos[Category],"Loan - Principal",TablaGastos[Date],"&gt;="&amp;DATE(2026,5,1),TablaGastos[Date],"&lt;"&amp;DATE(2026,6,1))</f>
        <v/>
      </c>
      <c r="G39" s="7">
        <f>SUMIFS(TablaGastos[Amount],TablaGastos[Category],"Loan - Principal",TablaGastos[Date],"&gt;="&amp;DATE(2026,6,1),TablaGastos[Date],"&lt;"&amp;DATE(2026,7,1))</f>
        <v/>
      </c>
      <c r="H39" s="7">
        <f>SUMIFS(TablaGastos[Amount],TablaGastos[Category],"Loan - Principal",TablaGastos[Date],"&gt;="&amp;DATE(2026,7,1),TablaGastos[Date],"&lt;"&amp;DATE(2026,8,1))</f>
        <v/>
      </c>
      <c r="I39" s="7">
        <f>SUMIFS(TablaGastos[Amount],TablaGastos[Category],"Loan - Principal",TablaGastos[Date],"&gt;="&amp;DATE(2026,8,1),TablaGastos[Date],"&lt;"&amp;DATE(2026,9,1))</f>
        <v/>
      </c>
      <c r="J39" s="7">
        <f>SUMIFS(TablaGastos[Amount],TablaGastos[Category],"Loan - Principal",TablaGastos[Date],"&gt;="&amp;DATE(2026,9,1),TablaGastos[Date],"&lt;"&amp;DATE(2026,10,1))</f>
        <v/>
      </c>
      <c r="K39" s="7">
        <f>SUMIFS(TablaGastos[Amount],TablaGastos[Category],"Loan - Principal",TablaGastos[Date],"&gt;="&amp;DATE(2026,10,1),TablaGastos[Date],"&lt;"&amp;DATE(2026,11,1))</f>
        <v/>
      </c>
      <c r="L39" s="7">
        <f>SUMIFS(TablaGastos[Amount],TablaGastos[Category],"Loan - Principal",TablaGastos[Date],"&gt;="&amp;DATE(2026,11,1),TablaGastos[Date],"&lt;"&amp;DATE(2026,12,1))</f>
        <v/>
      </c>
      <c r="M39" s="7">
        <f>SUMIFS(TablaGastos[Amount],TablaGastos[Category],"Loan - Principal",TablaGastos[Date],"&gt;="&amp;DATE(2026,12,1),TablaGastos[Date],"&lt;"&amp;DATE(2027,1,1))</f>
        <v/>
      </c>
      <c r="N39" s="7">
        <f>SUM(B39:M39)</f>
        <v/>
      </c>
    </row>
    <row r="40">
      <c r="A40" s="8" t="inlineStr">
        <is>
          <t>Returns and allowances</t>
        </is>
      </c>
      <c r="B40" s="7">
        <f>SUMIFS(TablaIngresos[Amount],TablaIngresos[Category],"Returns and allowances",TablaIngresos[INCOME STATEMENT - REVENUE SECTION],"&gt;="&amp;DATE(2026,1,1),TablaIngresos[INCOME STATEMENT - REVENUE SECTION],"&lt;"&amp;DATE(2026,2,1))</f>
        <v/>
      </c>
      <c r="C40" s="7">
        <f>SUMIFS(TablaIngresos[Amount],TablaIngresos[Category],"Returns and allowances",TablaIngresos[INCOME STATEMENT - REVENUE SECTION],"&gt;="&amp;DATE(2026,2,1),TablaIngresos[INCOME STATEMENT - REVENUE SECTION],"&lt;"&amp;DATE(2026,3,1))</f>
        <v/>
      </c>
      <c r="D40" s="7">
        <f>SUMIFS(TablaIngresos[Amount],TablaIngresos[Category],"Returns and allowances",TablaIngresos[INCOME STATEMENT - REVENUE SECTION],"&gt;="&amp;DATE(2026,3,1),TablaIngresos[INCOME STATEMENT - REVENUE SECTION],"&lt;"&amp;DATE(2026,4,1))</f>
        <v/>
      </c>
      <c r="E40" s="7">
        <f>SUMIFS(TablaIngresos[Amount],TablaIngresos[Category],"Returns and allowances",TablaIngresos[INCOME STATEMENT - REVENUE SECTION],"&gt;="&amp;DATE(2026,4,1),TablaIngresos[INCOME STATEMENT - REVENUE SECTION],"&lt;"&amp;DATE(2026,5,1))</f>
        <v/>
      </c>
      <c r="F40" s="7">
        <f>SUMIFS(TablaIngresos[Amount],TablaIngresos[Category],"Returns and allowances",TablaIngresos[INCOME STATEMENT - REVENUE SECTION],"&gt;="&amp;DATE(2026,5,1),TablaIngresos[INCOME STATEMENT - REVENUE SECTION],"&lt;"&amp;DATE(2026,6,1))</f>
        <v/>
      </c>
      <c r="G40" s="7">
        <f>SUMIFS(TablaIngresos[Amount],TablaIngresos[Category],"Returns and allowances",TablaIngresos[INCOME STATEMENT - REVENUE SECTION],"&gt;="&amp;DATE(2026,6,1),TablaIngresos[INCOME STATEMENT - REVENUE SECTION],"&lt;"&amp;DATE(2026,7,1))</f>
        <v/>
      </c>
      <c r="H40" s="7">
        <f>SUMIFS(TablaIngresos[Amount],TablaIngresos[Category],"Returns and allowances",TablaIngresos[INCOME STATEMENT - REVENUE SECTION],"&gt;="&amp;DATE(2026,7,1),TablaIngresos[INCOME STATEMENT - REVENUE SECTION],"&lt;"&amp;DATE(2026,8,1))</f>
        <v/>
      </c>
      <c r="I40" s="7">
        <f>SUMIFS(TablaIngresos[Amount],TablaIngresos[Category],"Returns and allowances",TablaIngresos[INCOME STATEMENT - REVENUE SECTION],"&gt;="&amp;DATE(2026,8,1),TablaIngresos[INCOME STATEMENT - REVENUE SECTION],"&lt;"&amp;DATE(2026,9,1))</f>
        <v/>
      </c>
      <c r="J40" s="7">
        <f>SUMIFS(TablaIngresos[Amount],TablaIngresos[Category],"Returns and allowances",TablaIngresos[INCOME STATEMENT - REVENUE SECTION],"&gt;="&amp;DATE(2026,9,1),TablaIngresos[INCOME STATEMENT - REVENUE SECTION],"&lt;"&amp;DATE(2026,10,1))</f>
        <v/>
      </c>
      <c r="K40" s="7">
        <f>SUMIFS(TablaIngresos[Amount],TablaIngresos[Category],"Returns and allowances",TablaIngresos[INCOME STATEMENT - REVENUE SECTION],"&gt;="&amp;DATE(2026,10,1),TablaIngresos[INCOME STATEMENT - REVENUE SECTION],"&lt;"&amp;DATE(2026,11,1))</f>
        <v/>
      </c>
      <c r="L40" s="7">
        <f>SUMIFS(TablaIngresos[Amount],TablaIngresos[Category],"Returns and allowances",TablaIngresos[INCOME STATEMENT - REVENUE SECTION],"&gt;="&amp;DATE(2026,11,1),TablaIngresos[INCOME STATEMENT - REVENUE SECTION],"&lt;"&amp;DATE(2026,12,1))</f>
        <v/>
      </c>
      <c r="M40" s="7">
        <f>SUMIFS(TablaIngresos[Amount],TablaIngresos[Category],"Returns and allowances",TablaIngresos[INCOME STATEMENT - REVENUE SECTION],"&gt;="&amp;DATE(2026,12,1),TablaIngresos[INCOME STATEMENT - REVENUE SECTION],"&lt;"&amp;DATE(2027,1,1))</f>
        <v/>
      </c>
      <c r="N40" s="7">
        <f>SUM(B40:M40)</f>
        <v/>
      </c>
    </row>
    <row r="41">
      <c r="A41" s="8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.75" customHeight="1" s="81" thickBot="1">
      <c r="A42" s="18" t="inlineStr">
        <is>
          <t>TOTAL EXPENSES</t>
        </is>
      </c>
      <c r="B42" s="19">
        <f>SUM(B14:B40)</f>
        <v/>
      </c>
      <c r="C42" s="19">
        <f>SUM(C14:C40)</f>
        <v/>
      </c>
      <c r="D42" s="19">
        <f>SUM(D14:D40)</f>
        <v/>
      </c>
      <c r="E42" s="19">
        <f>SUM(E14:E40)</f>
        <v/>
      </c>
      <c r="F42" s="19">
        <f>SUM(F14:F40)</f>
        <v/>
      </c>
      <c r="G42" s="19">
        <f>SUM(G14:G40)</f>
        <v/>
      </c>
      <c r="H42" s="19">
        <f>SUM(H14:H40)</f>
        <v/>
      </c>
      <c r="I42" s="19">
        <f>SUM(I14:I40)</f>
        <v/>
      </c>
      <c r="J42" s="19">
        <f>SUM(J14:J40)</f>
        <v/>
      </c>
      <c r="K42" s="19">
        <f>SUM(K14:K40)</f>
        <v/>
      </c>
      <c r="L42" s="19">
        <f>SUM(L14:L40)</f>
        <v/>
      </c>
      <c r="M42" s="19">
        <f>SUM(M14:M40)</f>
        <v/>
      </c>
      <c r="N42" s="19">
        <f>SUM(N14:N40)</f>
        <v/>
      </c>
    </row>
    <row r="43" ht="16.5" customHeight="1" s="81" thickBot="1" thickTop="1">
      <c r="A43" s="8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7.25" customHeight="1" s="81" thickBot="1" thickTop="1">
      <c r="A44" s="20" t="inlineStr">
        <is>
          <t>NET INCOME / UTILIDAD NETA</t>
        </is>
      </c>
      <c r="B44" s="21">
        <f>B11-B42</f>
        <v/>
      </c>
      <c r="C44" s="21">
        <f>C11-C42</f>
        <v/>
      </c>
      <c r="D44" s="21">
        <f>D11-D42</f>
        <v/>
      </c>
      <c r="E44" s="21">
        <f>E11-E42</f>
        <v/>
      </c>
      <c r="F44" s="21">
        <f>F11-F42</f>
        <v/>
      </c>
      <c r="G44" s="21">
        <f>G11-G42</f>
        <v/>
      </c>
      <c r="H44" s="21">
        <f>H11-H42</f>
        <v/>
      </c>
      <c r="I44" s="21">
        <f>I11-I42</f>
        <v/>
      </c>
      <c r="J44" s="21">
        <f>J11-J42</f>
        <v/>
      </c>
      <c r="K44" s="21">
        <f>K11-K42</f>
        <v/>
      </c>
      <c r="L44" s="21">
        <f>L11-L42</f>
        <v/>
      </c>
      <c r="M44" s="21">
        <f>M11-M42</f>
        <v/>
      </c>
      <c r="N44" s="21">
        <f>SUM(B44:M44)</f>
        <v/>
      </c>
    </row>
    <row r="45" ht="15.75" customHeight="1" s="81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"/>
  <sheetViews>
    <sheetView topLeftCell="A48" workbookViewId="0">
      <selection activeCell="B37" sqref="B37"/>
    </sheetView>
  </sheetViews>
  <sheetFormatPr baseColWidth="10" defaultRowHeight="15"/>
  <cols>
    <col width="57.140625" customWidth="1" style="81" min="1" max="1"/>
    <col width="19" customWidth="1" style="111" min="2" max="2"/>
  </cols>
  <sheetData>
    <row r="1" ht="21" customHeight="1" s="81">
      <c r="A1" s="77" t="inlineStr">
        <is>
          <t>PROFIT &amp; LOSS STATEMENT</t>
        </is>
      </c>
    </row>
    <row r="2">
      <c r="A2" s="78" t="inlineStr">
        <is>
          <t>January through December 2026</t>
        </is>
      </c>
    </row>
    <row r="3"/>
    <row r="4"/>
    <row r="5">
      <c r="A5" s="79" t="inlineStr">
        <is>
          <t>REVENUE / INGRESOS</t>
        </is>
      </c>
    </row>
    <row r="6">
      <c r="A6" t="inlineStr">
        <is>
          <t>Gross receipts or sales</t>
        </is>
      </c>
      <c r="B6" s="7">
        <f>SUMIF(TablaIngresos[Category],"Gross receipts or sales",TablaIngresos[Amount])</f>
        <v/>
      </c>
    </row>
    <row r="7">
      <c r="A7" t="inlineStr">
        <is>
          <t>Other income</t>
        </is>
      </c>
      <c r="B7" s="7">
        <f>SUMIF(TablaIngresos[Category],"Other income",TablaIngresos[Amount])</f>
        <v/>
      </c>
    </row>
    <row r="8">
      <c r="A8" t="inlineStr">
        <is>
          <t>Interest income</t>
        </is>
      </c>
      <c r="B8" s="7">
        <f>SUMIF(TablaIngresos[Category],"Interest income",TablaIngresos[Amount])</f>
        <v/>
      </c>
    </row>
    <row r="9">
      <c r="A9" t="inlineStr">
        <is>
          <t>Dividend income</t>
        </is>
      </c>
      <c r="B9" s="7">
        <f>SUMIF(TablaIngresos[Category],"Dividend income",TablaIngresos[Amount])</f>
        <v/>
      </c>
    </row>
    <row r="10">
      <c r="A10" t="inlineStr">
        <is>
          <t>Capital gains</t>
        </is>
      </c>
      <c r="B10" s="7">
        <f>SUMIF(TablaIngresos[Category],"Capital gains",TablaIngresos[Amount])</f>
        <v/>
      </c>
    </row>
    <row r="11">
      <c r="A11" t="inlineStr">
        <is>
          <t>Deposit</t>
        </is>
      </c>
      <c r="B11" s="7">
        <f>SUMIF(TablaIngresos[Category],"Deposit",TablaIngresos[Amount])</f>
        <v/>
      </c>
    </row>
    <row r="12" ht="15.75" customHeight="1" s="81" thickBot="1">
      <c r="A12" s="59" t="inlineStr">
        <is>
          <t>TOTAL REVENUE</t>
        </is>
      </c>
      <c r="B12" s="60">
        <f>SUM(B6:B11)</f>
        <v/>
      </c>
    </row>
    <row r="13" ht="15.75" customHeight="1" s="81" thickTop="1">
      <c r="B13" s="7" t="n"/>
    </row>
    <row r="14">
      <c r="A14" s="79" t="inlineStr">
        <is>
          <t>COST OF GOODS SOLD (COGS)</t>
        </is>
      </c>
      <c r="B14" s="69" t="n"/>
    </row>
    <row r="15">
      <c r="A15" t="inlineStr">
        <is>
          <t>Contract labor</t>
        </is>
      </c>
      <c r="B15" s="5">
        <f>SUMIF(Expenses!$E:$E,A15,Expenses!$I:$I)</f>
        <v/>
      </c>
    </row>
    <row r="16">
      <c r="A16" t="inlineStr">
        <is>
          <t>Cost of goods sold</t>
        </is>
      </c>
      <c r="B16" s="5">
        <f>SUMIF(Expenses!$E:$E,A16,Expenses!$I:$I)</f>
        <v/>
      </c>
    </row>
    <row r="17">
      <c r="A17" t="inlineStr">
        <is>
          <t>Supplies</t>
        </is>
      </c>
      <c r="B17" s="5">
        <f>SUMIF(Expenses!$E:$E,A17,Expenses!$I:$I)</f>
        <v/>
      </c>
    </row>
    <row r="18">
      <c r="A18" s="36" t="inlineStr">
        <is>
          <t>TOTAL COGS</t>
        </is>
      </c>
      <c r="B18" s="37">
        <f>SUM(B15:B17)</f>
        <v/>
      </c>
    </row>
    <row r="19">
      <c r="B19" s="5" t="n"/>
    </row>
    <row r="20">
      <c r="A20" s="62" t="inlineStr">
        <is>
          <t>OPERATING EXPENSES</t>
        </is>
      </c>
      <c r="B20" s="70" t="n"/>
    </row>
    <row r="21">
      <c r="A21" t="inlineStr">
        <is>
          <t>Advertising</t>
        </is>
      </c>
      <c r="B21" s="5">
        <f>SUMIF(Expenses!$E:$E,A21,Expenses!$I:$I)</f>
        <v/>
      </c>
    </row>
    <row r="22">
      <c r="A22" t="inlineStr">
        <is>
          <t>Car and truck expenses</t>
        </is>
      </c>
      <c r="B22" s="5">
        <f>SUMIF(Expenses!$E:$E,A22,Expenses!$I:$I)</f>
        <v/>
      </c>
    </row>
    <row r="23">
      <c r="A23" t="inlineStr">
        <is>
          <t>Commissions and fees</t>
        </is>
      </c>
      <c r="B23" s="5">
        <f>SUMIF(Expenses!$E:$E,A23,Expenses!$I:$I)</f>
        <v/>
      </c>
    </row>
    <row r="24">
      <c r="A24" t="inlineStr">
        <is>
          <t>Deductible meals</t>
        </is>
      </c>
      <c r="B24" s="5">
        <f>SUMIF(Expenses!$E:$E,A24,Expenses!$I:$I)</f>
        <v/>
      </c>
    </row>
    <row r="25">
      <c r="A25" t="inlineStr">
        <is>
          <t>Energy efficient commercial buildings deduction</t>
        </is>
      </c>
      <c r="B25" s="5">
        <f>SUMIF(Expenses!$E:$E,A25,Expenses!$I:$I)</f>
        <v/>
      </c>
    </row>
    <row r="26">
      <c r="A26" t="inlineStr">
        <is>
          <t>Insurance</t>
        </is>
      </c>
      <c r="B26" s="5">
        <f>SUMIF(Expenses!$E:$E,A26,Expenses!$I:$I)</f>
        <v/>
      </c>
    </row>
    <row r="27">
      <c r="A27" t="inlineStr">
        <is>
          <t>Legal and professional services</t>
        </is>
      </c>
      <c r="B27" s="5">
        <f>SUMIF(Expenses!$E:$E,A27,Expenses!$I:$I)</f>
        <v/>
      </c>
    </row>
    <row r="28">
      <c r="A28" t="inlineStr">
        <is>
          <t>Less returns and allowances</t>
        </is>
      </c>
      <c r="B28" s="5">
        <f>SUMIF(Expenses!$E:$E,A28,Expenses!$I:$I)</f>
        <v/>
      </c>
    </row>
    <row r="29">
      <c r="A29" t="inlineStr">
        <is>
          <t>Office expense</t>
        </is>
      </c>
      <c r="B29" s="5">
        <f>SUMIF(Expenses!$E:$E,A29,Expenses!$I:$I)</f>
        <v/>
      </c>
    </row>
    <row r="30">
      <c r="A30" t="inlineStr">
        <is>
          <t>Other business property</t>
        </is>
      </c>
      <c r="B30" s="5">
        <f>SUMIF(Expenses!$E:$E,A30,Expenses!$I:$I)</f>
        <v/>
      </c>
    </row>
    <row r="31">
      <c r="A31" t="inlineStr">
        <is>
          <t>Other deductions</t>
        </is>
      </c>
      <c r="B31" s="5">
        <f>SUMIF(Expenses!$E:$E,A31,Expenses!$I:$I)</f>
        <v/>
      </c>
    </row>
    <row r="32">
      <c r="A32" t="inlineStr">
        <is>
          <t>Other expenses</t>
        </is>
      </c>
      <c r="B32" s="5">
        <f>SUMIF(Expenses!$E:$E,A32,Expenses!$I:$I)</f>
        <v/>
      </c>
    </row>
    <row r="33">
      <c r="A33" t="inlineStr">
        <is>
          <t>Rent or lease</t>
        </is>
      </c>
      <c r="B33" s="5">
        <f>SUMIF(Expenses!$E:$E,A33,Expenses!$I:$I)</f>
        <v/>
      </c>
    </row>
    <row r="34">
      <c r="A34" t="inlineStr">
        <is>
          <t>Repairs and maintenance</t>
        </is>
      </c>
      <c r="B34" s="5">
        <f>SUMIF(Expenses!$E:$E,A34,Expenses!$I:$I)</f>
        <v/>
      </c>
    </row>
    <row r="35">
      <c r="A35" t="inlineStr">
        <is>
          <t>Suscriptions</t>
        </is>
      </c>
      <c r="B35" s="5">
        <f>SUMIF(Expenses!$E:$E,A35,Expenses!$I:$I)</f>
        <v/>
      </c>
    </row>
    <row r="36">
      <c r="A36" t="inlineStr">
        <is>
          <t>Travel</t>
        </is>
      </c>
      <c r="B36" s="5">
        <f>SUMIF(Expenses!$E:$E,A36,Expenses!$I:$I)</f>
        <v/>
      </c>
    </row>
    <row r="37">
      <c r="A37" t="inlineStr">
        <is>
          <t>Utilities</t>
        </is>
      </c>
      <c r="B37" s="5">
        <f>SUMIF(Expenses!$E:$E,A37,Expenses!$I:$I)</f>
        <v/>
      </c>
    </row>
    <row r="38">
      <c r="A38" t="inlineStr">
        <is>
          <t>Vehicles, machinery, and equipment</t>
        </is>
      </c>
      <c r="B38" s="5">
        <f>SUMIF(Expenses!$E:$E,A38,Expenses!$I:$I)</f>
        <v/>
      </c>
    </row>
    <row r="39">
      <c r="A39" s="36" t="inlineStr">
        <is>
          <t>TOTAL OPERATING</t>
        </is>
      </c>
      <c r="B39" s="37">
        <f>SUM(B21:B38)</f>
        <v/>
      </c>
    </row>
    <row r="40">
      <c r="B40" s="5" t="n"/>
    </row>
    <row r="41">
      <c r="A41" s="63" t="inlineStr">
        <is>
          <t>PAYROLL EXPENSES</t>
        </is>
      </c>
      <c r="B41" s="71" t="n"/>
    </row>
    <row r="42">
      <c r="A42" t="inlineStr">
        <is>
          <t>Compensation of officers</t>
        </is>
      </c>
      <c r="B42" s="5">
        <f>SUMIF(Expenses!$E:$E,A42,Expenses!$I:$I)</f>
        <v/>
      </c>
    </row>
    <row r="43">
      <c r="A43" t="inlineStr">
        <is>
          <t>Employee benefit programs</t>
        </is>
      </c>
      <c r="B43" s="5">
        <f>SUMIF(Expenses!$E:$E,A43,Expenses!$I:$I)</f>
        <v/>
      </c>
    </row>
    <row r="44">
      <c r="A44" t="inlineStr">
        <is>
          <t>Pension, profit-sharing, etc., plans</t>
        </is>
      </c>
      <c r="B44" s="5">
        <f>SUMIF(Expenses!$E:$E,A44,Expenses!$I:$I)</f>
        <v/>
      </c>
    </row>
    <row r="45">
      <c r="A45" t="inlineStr">
        <is>
          <t>Salaries and wages (less employment credits)</t>
        </is>
      </c>
      <c r="B45" s="5">
        <f>SUMIF(Expenses!$E:$E,A45,Expenses!$I:$I)</f>
        <v/>
      </c>
    </row>
    <row r="46">
      <c r="A46" t="inlineStr">
        <is>
          <t>Wages</t>
        </is>
      </c>
      <c r="B46" s="5">
        <f>SUMIF(Expenses!$E:$E,A46,Expenses!$I:$I)</f>
        <v/>
      </c>
    </row>
    <row r="47">
      <c r="A47" s="36" t="inlineStr">
        <is>
          <t>TOTAL PAYROLL</t>
        </is>
      </c>
      <c r="B47" s="37">
        <f>SUM(B42:B46)</f>
        <v/>
      </c>
    </row>
    <row r="48">
      <c r="B48" s="5" t="n"/>
    </row>
    <row r="49">
      <c r="A49" s="64" t="inlineStr">
        <is>
          <t>FINANCIAL EXPENSES</t>
        </is>
      </c>
      <c r="B49" s="72" t="n"/>
    </row>
    <row r="50">
      <c r="A50" t="inlineStr">
        <is>
          <t>Bad debts</t>
        </is>
      </c>
      <c r="B50" s="5">
        <f>SUMIF(Expenses!$E:$E,A50,Expenses!$I:$I)</f>
        <v/>
      </c>
    </row>
    <row r="51">
      <c r="A51" t="inlineStr">
        <is>
          <t>Depletion (do not deduct oil and gas depletion)</t>
        </is>
      </c>
      <c r="B51" s="5">
        <f>SUMIF(Expenses!$E:$E,A51,Expenses!$I:$I)</f>
        <v/>
      </c>
    </row>
    <row r="52">
      <c r="A52" t="inlineStr">
        <is>
          <t>Depreciation</t>
        </is>
      </c>
      <c r="B52" s="5">
        <f>SUMIF(Expenses!$E:$E,A52,Expenses!$I:$I)</f>
        <v/>
      </c>
    </row>
    <row r="53">
      <c r="A53" t="inlineStr">
        <is>
          <t>Interest</t>
        </is>
      </c>
      <c r="B53" s="5">
        <f>SUMIF(Expenses!$E:$E,A53,Expenses!$I:$I)</f>
        <v/>
      </c>
    </row>
    <row r="54">
      <c r="A54" t="inlineStr">
        <is>
          <t>Mortgage</t>
        </is>
      </c>
      <c r="B54" s="5">
        <f>SUMIF(Expenses!$E:$E,A54,Expenses!$I:$I)</f>
        <v/>
      </c>
    </row>
    <row r="55">
      <c r="A55" s="36" t="inlineStr">
        <is>
          <t>TOTAL FINANCIAL</t>
        </is>
      </c>
      <c r="B55" s="37">
        <f>SUM(B50:B54)</f>
        <v/>
      </c>
    </row>
    <row r="56">
      <c r="B56" s="5" t="n"/>
    </row>
    <row r="57">
      <c r="A57" s="65" t="inlineStr">
        <is>
          <t>TAXES</t>
        </is>
      </c>
      <c r="B57" s="73" t="n"/>
    </row>
    <row r="58">
      <c r="A58" t="inlineStr">
        <is>
          <t>Deductions</t>
        </is>
      </c>
      <c r="B58" s="5">
        <f>SUMIF(Expenses!$E:$E,A58,Expenses!$I:$I)</f>
        <v/>
      </c>
    </row>
    <row r="59">
      <c r="A59" t="inlineStr">
        <is>
          <t>Taxes and licenses</t>
        </is>
      </c>
      <c r="B59" s="5">
        <f>SUMIF(Expenses!$E:$E,A59,Expenses!$I:$I)</f>
        <v/>
      </c>
    </row>
    <row r="60">
      <c r="A60" s="36" t="inlineStr">
        <is>
          <t>TOTAL TAXES</t>
        </is>
      </c>
      <c r="B60" s="37">
        <f>SUM(B58:B59)</f>
        <v/>
      </c>
    </row>
    <row r="61">
      <c r="B61" s="5" t="n"/>
    </row>
    <row r="62">
      <c r="A62" s="66" t="inlineStr">
        <is>
          <t>TOTAL DEDUCTIBLE EXPENSES</t>
        </is>
      </c>
      <c r="B62" s="74">
        <f>B18+B39+B47+B55+B60</f>
        <v/>
      </c>
    </row>
    <row r="63">
      <c r="B63" s="5" t="n"/>
    </row>
    <row r="64">
      <c r="A64" s="67" t="inlineStr">
        <is>
          <t>NET PROFIT</t>
        </is>
      </c>
      <c r="B64" s="68">
        <f>B12-B62</f>
        <v/>
      </c>
    </row>
    <row r="65">
      <c r="B65" s="5" t="n"/>
    </row>
    <row r="66"/>
    <row r="67"/>
    <row r="68">
      <c r="A68" t="inlineStr">
        <is>
          <t>DATE: _____________________________</t>
        </is>
      </c>
    </row>
    <row r="69"/>
    <row r="70">
      <c r="A70" t="inlineStr">
        <is>
          <t>SIGNATURE: _____________________________</t>
        </is>
      </c>
    </row>
    <row r="71"/>
    <row r="72"/>
    <row r="73"/>
    <row r="74"/>
  </sheetData>
  <mergeCells count="3">
    <mergeCell ref="A2:B2"/>
    <mergeCell ref="A1:B1"/>
    <mergeCell ref="A5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T16" sqref="T16"/>
    </sheetView>
  </sheetViews>
  <sheetFormatPr baseColWidth="10" defaultRowHeight="15"/>
  <cols>
    <col width="34.28515625" customWidth="1" style="81" min="1" max="1"/>
    <col width="19" customWidth="1" style="81" min="2" max="2"/>
    <col hidden="1" style="81" min="4" max="5"/>
    <col width="23.5703125" bestFit="1" customWidth="1" style="81" min="7" max="7"/>
    <col width="6.85546875" bestFit="1" customWidth="1" style="81" min="8" max="8"/>
  </cols>
  <sheetData>
    <row r="1" ht="23.25" customHeight="1" s="81">
      <c r="A1" s="80" t="inlineStr">
        <is>
          <t>DASHBOARD - ANÁLISIS DE INGRESOS Y GASTOS</t>
        </is>
      </c>
    </row>
    <row r="2" ht="15.75" customHeight="1" s="81">
      <c r="A2" s="82" t="inlineStr">
        <is>
          <t>Fiscal Year 2026</t>
        </is>
      </c>
    </row>
    <row r="5" ht="15.75" customHeight="1" s="81">
      <c r="A5" s="6" t="inlineStr">
        <is>
          <t>INGRESOS POR CATEGORÍA</t>
        </is>
      </c>
      <c r="D5" s="49" t="inlineStr">
        <is>
          <t>INGRESOS (Solo con datos)</t>
        </is>
      </c>
      <c r="G5" s="36" t="inlineStr">
        <is>
          <t>Gráfico Ingresos</t>
        </is>
      </c>
    </row>
    <row r="6">
      <c r="A6" s="31" t="inlineStr">
        <is>
          <t>Categoría</t>
        </is>
      </c>
      <c r="B6" s="31" t="inlineStr">
        <is>
          <t>Monto</t>
        </is>
      </c>
      <c r="D6" s="50" t="inlineStr">
        <is>
          <t>Categoría</t>
        </is>
      </c>
      <c r="E6" s="50" t="inlineStr">
        <is>
          <t>Monto</t>
        </is>
      </c>
      <c r="G6" t="inlineStr">
        <is>
          <t>Categoría</t>
        </is>
      </c>
      <c r="H6" t="inlineStr">
        <is>
          <t>Monto</t>
        </is>
      </c>
    </row>
    <row r="7">
      <c r="A7" s="32" t="inlineStr">
        <is>
          <t>Gross receipts or sales</t>
        </is>
      </c>
      <c r="B7" s="33">
        <f>SUMIF(TablaIngresos[Category],"Gross receipts or sales",TablaIngresos[Amount])</f>
        <v/>
      </c>
      <c r="D7">
        <f>IF(B7&gt;0, A7, "")</f>
        <v/>
      </c>
      <c r="E7" s="5">
        <f>IF(B7&gt;0, B7, "")</f>
        <v/>
      </c>
      <c r="G7">
        <f t="array" ref="G7">_xlfn._xlws.FILTER(A7:A12, B7:B12&gt;0, "Sin datos")</f>
        <v/>
      </c>
      <c r="H7">
        <f t="array" ref="H7">_xlfn._xlws.FILTER(B7:B12, B7:B12&gt;0, 0)</f>
        <v/>
      </c>
    </row>
    <row r="8">
      <c r="A8" s="32" t="inlineStr">
        <is>
          <t>Returns and allowances</t>
        </is>
      </c>
      <c r="B8" s="33">
        <f>SUMIF(TablaIngresos[Category],"Returns and allowances",TablaIngresos[Amount])</f>
        <v/>
      </c>
      <c r="D8">
        <f>IF(B8&gt;0, A8, "")</f>
        <v/>
      </c>
      <c r="E8" s="5">
        <f>IF(B8&gt;0, B8, "")</f>
        <v/>
      </c>
    </row>
    <row r="9">
      <c r="A9" s="32" t="inlineStr">
        <is>
          <t>Other income</t>
        </is>
      </c>
      <c r="B9" s="33">
        <f>SUMIF(TablaIngresos[Category],"Other income",TablaIngresos[Amount])</f>
        <v/>
      </c>
      <c r="D9">
        <f>IF(B9&gt;0, A9, "")</f>
        <v/>
      </c>
      <c r="E9" s="5">
        <f>IF(B9&gt;0, B9, "")</f>
        <v/>
      </c>
    </row>
    <row r="10">
      <c r="A10" s="32" t="inlineStr">
        <is>
          <t>Interest income</t>
        </is>
      </c>
      <c r="B10" s="33">
        <f>SUMIF(TablaIngresos[Category],"Interest income",TablaIngresos[Amount])</f>
        <v/>
      </c>
      <c r="D10">
        <f>IF(B10&gt;0, A10, "")</f>
        <v/>
      </c>
      <c r="E10" s="5">
        <f>IF(B10&gt;0, B10, "")</f>
        <v/>
      </c>
    </row>
    <row r="11">
      <c r="A11" s="32" t="inlineStr">
        <is>
          <t>Dividend income</t>
        </is>
      </c>
      <c r="B11" s="33">
        <f>SUMIF(TablaIngresos[Category],"Dividend income",TablaIngresos[Amount])</f>
        <v/>
      </c>
      <c r="D11">
        <f>IF(B11&gt;0, A11, "")</f>
        <v/>
      </c>
      <c r="E11" s="5">
        <f>IF(B11&gt;0, B11, "")</f>
        <v/>
      </c>
    </row>
    <row r="12">
      <c r="A12" s="32" t="inlineStr">
        <is>
          <t>Capital gains</t>
        </is>
      </c>
      <c r="B12" s="33">
        <f>SUMIF(TablaIngresos[Category],"Capital gains",TablaIngresos[Amount])</f>
        <v/>
      </c>
      <c r="D12">
        <f>IF(B12&gt;0, A12, "")</f>
        <v/>
      </c>
      <c r="E12" s="5">
        <f>IF(B12&gt;0, B12, "")</f>
        <v/>
      </c>
    </row>
    <row r="13">
      <c r="A13" s="34" t="inlineStr">
        <is>
          <t>TOTAL</t>
        </is>
      </c>
      <c r="B13" s="35">
        <f>SUM(B7:B12)</f>
        <v/>
      </c>
    </row>
    <row r="14">
      <c r="G14" s="36" t="inlineStr">
        <is>
          <t>Gráfico Gastos</t>
        </is>
      </c>
    </row>
    <row r="15">
      <c r="D15" s="51" t="inlineStr">
        <is>
          <t>GASTOS (Solo con datos)</t>
        </is>
      </c>
      <c r="G15" t="inlineStr">
        <is>
          <t>Categoría</t>
        </is>
      </c>
      <c r="H15" t="inlineStr">
        <is>
          <t>Monto</t>
        </is>
      </c>
    </row>
    <row r="16">
      <c r="A16" s="38" t="inlineStr">
        <is>
          <t>GASTOS POR CATEGORÍA</t>
        </is>
      </c>
      <c r="D16" s="52" t="inlineStr">
        <is>
          <t>Categoría</t>
        </is>
      </c>
      <c r="E16" s="52" t="inlineStr">
        <is>
          <t>Monto</t>
        </is>
      </c>
      <c r="G16">
        <f t="array" ref="G16">_xlfn._xlws.FILTER(A18:A43, B18:B43&gt;0, "Sin datos")</f>
        <v/>
      </c>
      <c r="H16">
        <f t="array" ref="H16">_xlfn._xlws.FILTER(B18:B43, B18:B43&gt;0, 0)</f>
        <v/>
      </c>
    </row>
    <row r="17">
      <c r="A17" s="36" t="inlineStr">
        <is>
          <t>Categoría</t>
        </is>
      </c>
      <c r="B17" s="36" t="inlineStr">
        <is>
          <t>Monto</t>
        </is>
      </c>
      <c r="D17">
        <f>IF(B18&gt;0, A18, "")</f>
        <v/>
      </c>
      <c r="E17" s="5">
        <f>IF(B18&gt;0, B18, "")</f>
        <v/>
      </c>
    </row>
    <row r="18">
      <c r="A18" t="inlineStr">
        <is>
          <t>Advertising</t>
        </is>
      </c>
      <c r="B18" s="5">
        <f>SUMIF(TablaGastos[Category],"Advertising",TablaGastos[Amount])</f>
        <v/>
      </c>
      <c r="D18">
        <f>IF(B19&gt;0, A19, "")</f>
        <v/>
      </c>
      <c r="E18" s="5">
        <f>IF(B19&gt;0, B19, "")</f>
        <v/>
      </c>
    </row>
    <row r="19">
      <c r="A19" t="inlineStr">
        <is>
          <t>Bad debts</t>
        </is>
      </c>
      <c r="B19" s="5">
        <f>SUMIF(TablaGastos[Category],"Bad debts",TablaGastos[Amount])</f>
        <v/>
      </c>
      <c r="D19">
        <f>IF(B20&gt;0, A20, "")</f>
        <v/>
      </c>
      <c r="E19" s="5">
        <f>IF(B20&gt;0, B20, "")</f>
        <v/>
      </c>
    </row>
    <row r="20">
      <c r="A20" t="inlineStr">
        <is>
          <t>Car and truck expenses</t>
        </is>
      </c>
      <c r="B20" s="5">
        <f>SUMIF(TablaGastos[Category],"Car and truck expenses",TablaGastos[Amount])</f>
        <v/>
      </c>
      <c r="D20">
        <f>IF(B21&gt;0, A21, "")</f>
        <v/>
      </c>
      <c r="E20" s="5">
        <f>IF(B21&gt;0, B21, "")</f>
        <v/>
      </c>
    </row>
    <row r="21">
      <c r="A21" t="inlineStr">
        <is>
          <t>Commissions and fees</t>
        </is>
      </c>
      <c r="B21" s="5">
        <f>SUMIF(TablaGastos[Category],"Commissions and fees",TablaGastos[Amount])</f>
        <v/>
      </c>
      <c r="D21">
        <f>IF(B22&gt;0, A22, "")</f>
        <v/>
      </c>
      <c r="E21" s="5">
        <f>IF(B22&gt;0, B22, "")</f>
        <v/>
      </c>
    </row>
    <row r="22">
      <c r="A22" t="inlineStr">
        <is>
          <t>Compensation of officers</t>
        </is>
      </c>
      <c r="B22" s="5">
        <f>SUMIF(TablaGastos[Category],"Compensation of officers",TablaGastos[Amount])</f>
        <v/>
      </c>
      <c r="D22">
        <f>IF(B23&gt;0, A23, "")</f>
        <v/>
      </c>
      <c r="E22" s="5">
        <f>IF(B23&gt;0, B23, "")</f>
        <v/>
      </c>
    </row>
    <row r="23">
      <c r="A23" t="inlineStr">
        <is>
          <t>Contract labor</t>
        </is>
      </c>
      <c r="B23" s="5">
        <f>SUMIF(TablaGastos[Category],"Contract labor",TablaGastos[Amount])</f>
        <v/>
      </c>
      <c r="D23">
        <f>IF(B24&gt;0, A24, "")</f>
        <v/>
      </c>
      <c r="E23" s="5">
        <f>IF(B24&gt;0, B24, "")</f>
        <v/>
      </c>
    </row>
    <row r="24">
      <c r="A24" t="inlineStr">
        <is>
          <t>Cost of goods sold</t>
        </is>
      </c>
      <c r="B24" s="5">
        <f>SUMIF(TablaGastos[Category],"Cost of goods sold",TablaGastos[Amount])</f>
        <v/>
      </c>
      <c r="D24">
        <f>IF(B25&gt;0, A25, "")</f>
        <v/>
      </c>
      <c r="E24" s="5">
        <f>IF(B25&gt;0, B25, "")</f>
        <v/>
      </c>
    </row>
    <row r="25">
      <c r="A25" t="inlineStr">
        <is>
          <t>Deductible meals</t>
        </is>
      </c>
      <c r="B25" s="5">
        <f>SUMIF(TablaGastos[Category],"Deductible meals",TablaGastos[Amount])</f>
        <v/>
      </c>
      <c r="D25">
        <f>IF(B26&gt;0, A26, "")</f>
        <v/>
      </c>
      <c r="E25" s="5">
        <f>IF(B26&gt;0, B26, "")</f>
        <v/>
      </c>
    </row>
    <row r="26">
      <c r="A26" t="inlineStr">
        <is>
          <t>Depreciation</t>
        </is>
      </c>
      <c r="B26" s="5">
        <f>SUMIF(TablaGastos[Category],"Depreciation",TablaGastos[Amount])</f>
        <v/>
      </c>
      <c r="D26">
        <f>IF(B27&gt;0, A27, "")</f>
        <v/>
      </c>
      <c r="E26" s="5">
        <f>IF(B27&gt;0, B27, "")</f>
        <v/>
      </c>
    </row>
    <row r="27">
      <c r="A27" t="inlineStr">
        <is>
          <t>Employee benefit programs</t>
        </is>
      </c>
      <c r="B27" s="5">
        <f>SUMIF(TablaGastos[Category],"Employee benefit programs",TablaGastos[Amount])</f>
        <v/>
      </c>
      <c r="D27">
        <f>IF(B28&gt;0, A28, "")</f>
        <v/>
      </c>
      <c r="E27" s="5">
        <f>IF(B28&gt;0, B28, "")</f>
        <v/>
      </c>
    </row>
    <row r="28">
      <c r="A28" t="inlineStr">
        <is>
          <t>Insurance</t>
        </is>
      </c>
      <c r="B28" s="5">
        <f>SUMIF(TablaGastos[Category],"Insurance",TablaGastos[Amount])</f>
        <v/>
      </c>
      <c r="D28">
        <f>IF(B29&gt;0, A29, "")</f>
        <v/>
      </c>
      <c r="E28" s="5">
        <f>IF(B29&gt;0, B29, "")</f>
        <v/>
      </c>
    </row>
    <row r="29">
      <c r="A29" t="inlineStr">
        <is>
          <t>Interest</t>
        </is>
      </c>
      <c r="B29" s="5">
        <f>SUMIF(TablaGastos[Category],"Interest",TablaGastos[Amount])</f>
        <v/>
      </c>
      <c r="D29">
        <f>IF(B30&gt;0, A30, "")</f>
        <v/>
      </c>
      <c r="E29" s="5">
        <f>IF(B30&gt;0, B30, "")</f>
        <v/>
      </c>
    </row>
    <row r="30">
      <c r="A30" t="inlineStr">
        <is>
          <t>Legal and professional services</t>
        </is>
      </c>
      <c r="B30" s="5">
        <f>SUMIF(TablaGastos[Category],"Legal and professional services",TablaGastos[Amount])</f>
        <v/>
      </c>
      <c r="D30">
        <f>IF(B31&gt;0, A31, "")</f>
        <v/>
      </c>
      <c r="E30" s="5">
        <f>IF(B31&gt;0, B31, "")</f>
        <v/>
      </c>
    </row>
    <row r="31">
      <c r="A31" t="inlineStr">
        <is>
          <t>Office expense</t>
        </is>
      </c>
      <c r="B31" s="5">
        <f>SUMIF(TablaGastos[Category],"Office expense",TablaGastos[Amount])</f>
        <v/>
      </c>
      <c r="D31">
        <f>IF(B32&gt;0, A32, "")</f>
        <v/>
      </c>
      <c r="E31" s="5">
        <f>IF(B32&gt;0, B32, "")</f>
        <v/>
      </c>
    </row>
    <row r="32">
      <c r="A32" t="inlineStr">
        <is>
          <t>Other deductions</t>
        </is>
      </c>
      <c r="B32" s="5">
        <f>SUMIF(TablaGastos[Category],"Other deductions",TablaGastos[Amount])</f>
        <v/>
      </c>
      <c r="D32">
        <f>IF(B33&gt;0, A33, "")</f>
        <v/>
      </c>
      <c r="E32" s="5">
        <f>IF(B33&gt;0, B33, "")</f>
        <v/>
      </c>
    </row>
    <row r="33">
      <c r="A33" t="inlineStr">
        <is>
          <t>Other expenses</t>
        </is>
      </c>
      <c r="B33" s="5">
        <f>SUMIF(TablaGastos[Category],"Other expenses",TablaGastos[Amount])</f>
        <v/>
      </c>
      <c r="D33">
        <f>IF(B34&gt;0, A34, "")</f>
        <v/>
      </c>
      <c r="E33" s="5">
        <f>IF(B34&gt;0, B34, "")</f>
        <v/>
      </c>
    </row>
    <row r="34">
      <c r="A34" t="inlineStr">
        <is>
          <t>Pension, profit-sharing, etc., plans</t>
        </is>
      </c>
      <c r="B34" s="5">
        <f>SUMIF(TablaGastos[Category],"Pension, profit-sharing, etc., plans",TablaGastos[Amount])</f>
        <v/>
      </c>
      <c r="D34">
        <f>IF(B35&gt;0, A35, "")</f>
        <v/>
      </c>
      <c r="E34" s="5">
        <f>IF(B35&gt;0, B35, "")</f>
        <v/>
      </c>
    </row>
    <row r="35">
      <c r="A35" t="inlineStr">
        <is>
          <t>Rent or lease</t>
        </is>
      </c>
      <c r="B35" s="5">
        <f>SUMIF(TablaGastos[Category],"Rent or lease",TablaGastos[Amount])</f>
        <v/>
      </c>
      <c r="D35">
        <f>IF(B36&gt;0, A36, "")</f>
        <v/>
      </c>
      <c r="E35" s="5">
        <f>IF(B36&gt;0, B36, "")</f>
        <v/>
      </c>
    </row>
    <row r="36">
      <c r="A36" t="inlineStr">
        <is>
          <t>Repairs and maintenance</t>
        </is>
      </c>
      <c r="B36" s="5">
        <f>SUMIF(TablaGastos[Category],"Repairs and maintenance",TablaGastos[Amount])</f>
        <v/>
      </c>
      <c r="D36">
        <f>IF(B37&gt;0, A37, "")</f>
        <v/>
      </c>
      <c r="E36" s="5">
        <f>IF(B37&gt;0, B37, "")</f>
        <v/>
      </c>
    </row>
    <row r="37">
      <c r="A37" t="inlineStr">
        <is>
          <t>Salaries and wages (less employment credits)</t>
        </is>
      </c>
      <c r="B37" s="5">
        <f>SUMIF(TablaGastos[Category],"Salaries and wages (less employment credits)",TablaGastos[Amount])</f>
        <v/>
      </c>
      <c r="D37">
        <f>IF(B38&gt;0, A38, "")</f>
        <v/>
      </c>
      <c r="E37" s="5">
        <f>IF(B38&gt;0, B38, "")</f>
        <v/>
      </c>
    </row>
    <row r="38">
      <c r="A38" t="inlineStr">
        <is>
          <t>Suscription</t>
        </is>
      </c>
      <c r="B38" s="5">
        <f>SUMIF(TablaGastos[Category],"Suscriptions",TablaGastos[Amount])</f>
        <v/>
      </c>
      <c r="D38">
        <f>IF(B39&gt;0, A39, "")</f>
        <v/>
      </c>
      <c r="E38" s="5">
        <f>IF(B39&gt;0, B39, "")</f>
        <v/>
      </c>
    </row>
    <row r="39">
      <c r="A39" t="inlineStr">
        <is>
          <t>Supplies</t>
        </is>
      </c>
      <c r="B39" s="5">
        <f>SUMIF(TablaGastos[Category],"Supplies",TablaGastos[Amount])</f>
        <v/>
      </c>
      <c r="D39">
        <f>IF(B40&gt;0, A40, "")</f>
        <v/>
      </c>
      <c r="E39" s="5">
        <f>IF(B40&gt;0, B40, "")</f>
        <v/>
      </c>
    </row>
    <row r="40">
      <c r="A40" t="inlineStr">
        <is>
          <t>Taxes and licenses</t>
        </is>
      </c>
      <c r="B40" s="5">
        <f>SUMIF(TablaGastos[Category],"Taxes and licenses",TablaGastos[Amount])</f>
        <v/>
      </c>
      <c r="D40">
        <f>IF(B41&gt;0, A41, "")</f>
        <v/>
      </c>
      <c r="E40" s="5">
        <f>IF(B41&gt;0, B41, "")</f>
        <v/>
      </c>
    </row>
    <row r="41">
      <c r="A41" t="inlineStr">
        <is>
          <t>Travel</t>
        </is>
      </c>
      <c r="B41" s="5">
        <f>SUMIF(TablaGastos[Category],"Travel",TablaGastos[Amount])</f>
        <v/>
      </c>
      <c r="D41">
        <f>IF(B42&gt;0, A42, "")</f>
        <v/>
      </c>
      <c r="E41" s="5">
        <f>IF(B42&gt;0, B42, "")</f>
        <v/>
      </c>
    </row>
    <row r="42">
      <c r="A42" t="inlineStr">
        <is>
          <t>Utilities</t>
        </is>
      </c>
      <c r="B42" s="5">
        <f>SUMIF(TablaGastos[Category],"Utilities",TablaGastos[Amount])</f>
        <v/>
      </c>
      <c r="D42">
        <f>IF(B43&gt;0, A43, "")</f>
        <v/>
      </c>
      <c r="E42" s="5">
        <f>IF(B43&gt;0, B43, "")</f>
        <v/>
      </c>
    </row>
    <row r="43">
      <c r="A43" t="inlineStr">
        <is>
          <t>Wages</t>
        </is>
      </c>
      <c r="B43" s="5">
        <f>SUMIF(TablaGastos[Category],"Wages",TablaGastos[Amount])</f>
        <v/>
      </c>
    </row>
    <row r="44">
      <c r="A44" s="38" t="inlineStr">
        <is>
          <t>TOTAL</t>
        </is>
      </c>
      <c r="B44" s="39">
        <f>SUM(B18:B43)</f>
        <v/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J22" sqref="J22"/>
    </sheetView>
  </sheetViews>
  <sheetFormatPr baseColWidth="10" defaultRowHeight="15"/>
  <cols>
    <col width="21.7109375" bestFit="1" customWidth="1" style="81" min="1" max="1"/>
    <col width="9.28515625" bestFit="1" customWidth="1" style="81" min="2" max="2"/>
    <col width="22" bestFit="1" customWidth="1" style="81" min="3" max="3"/>
    <col width="10.5703125" customWidth="1" style="81" min="4" max="4"/>
    <col width="15.140625" bestFit="1" customWidth="1" style="81" min="5" max="5"/>
    <col width="44.5703125" bestFit="1" customWidth="1" style="81" min="6" max="6"/>
    <col width="9.28515625" customWidth="1" style="81" min="7" max="7"/>
    <col width="22.5703125" bestFit="1" customWidth="1" style="81" min="8" max="8"/>
  </cols>
  <sheetData>
    <row r="1" ht="15.75" customFormat="1" customHeight="1" s="1">
      <c r="A1" s="25" t="inlineStr">
        <is>
          <t>Customers</t>
        </is>
      </c>
      <c r="C1" s="26" t="inlineStr">
        <is>
          <t>Suppliers</t>
        </is>
      </c>
      <c r="E1" s="61" t="inlineStr">
        <is>
          <t>Type</t>
        </is>
      </c>
      <c r="F1" s="27" t="inlineStr">
        <is>
          <t>Chart of Accounts</t>
        </is>
      </c>
      <c r="H1" s="22" t="inlineStr">
        <is>
          <t>Revenue Categories</t>
        </is>
      </c>
    </row>
    <row r="2" ht="15.75" customFormat="1" customHeight="1" s="1">
      <c r="C2" s="1" t="inlineStr">
        <is>
          <t>Office Depot</t>
        </is>
      </c>
      <c r="E2" s="1" t="inlineStr">
        <is>
          <t>Operating</t>
        </is>
      </c>
      <c r="F2" s="2" t="inlineStr">
        <is>
          <t>Advertising</t>
        </is>
      </c>
      <c r="G2" s="3" t="n"/>
      <c r="H2" t="inlineStr">
        <is>
          <t>Gross receipts or sales</t>
        </is>
      </c>
    </row>
    <row r="3" ht="15.75" customFormat="1" customHeight="1" s="1">
      <c r="C3" s="1" t="inlineStr">
        <is>
          <t>Amazon</t>
        </is>
      </c>
      <c r="E3" s="1" t="inlineStr">
        <is>
          <t>Financial</t>
        </is>
      </c>
      <c r="F3" s="2" t="inlineStr">
        <is>
          <t>Bad debts</t>
        </is>
      </c>
      <c r="G3" s="3" t="n"/>
      <c r="H3" t="inlineStr">
        <is>
          <t>Returns and allowances</t>
        </is>
      </c>
    </row>
    <row r="4">
      <c r="C4" t="inlineStr">
        <is>
          <t>Amazon Prime</t>
        </is>
      </c>
      <c r="E4" t="inlineStr">
        <is>
          <t>Operating</t>
        </is>
      </c>
      <c r="F4" s="2" t="inlineStr">
        <is>
          <t>Car and truck expenses</t>
        </is>
      </c>
      <c r="G4" s="3" t="n"/>
      <c r="H4" t="inlineStr">
        <is>
          <t>Other income</t>
        </is>
      </c>
    </row>
    <row r="5">
      <c r="C5" t="inlineStr">
        <is>
          <t>Tmobile Auto pay</t>
        </is>
      </c>
      <c r="E5" t="inlineStr">
        <is>
          <t>Operating</t>
        </is>
      </c>
      <c r="F5" s="2" t="inlineStr">
        <is>
          <t>Commissions and fees</t>
        </is>
      </c>
      <c r="G5" s="3" t="n"/>
      <c r="H5" t="inlineStr">
        <is>
          <t>Interest income</t>
        </is>
      </c>
    </row>
    <row r="6">
      <c r="C6" s="3" t="inlineStr">
        <is>
          <t>Local owner</t>
        </is>
      </c>
      <c r="E6" t="inlineStr">
        <is>
          <t>Payroll</t>
        </is>
      </c>
      <c r="F6" s="2" t="inlineStr">
        <is>
          <t>Compensation of officers</t>
        </is>
      </c>
      <c r="G6" s="3" t="n"/>
      <c r="H6" t="inlineStr">
        <is>
          <t>Dividend income</t>
        </is>
      </c>
    </row>
    <row r="7">
      <c r="E7" t="inlineStr">
        <is>
          <t>COGS</t>
        </is>
      </c>
      <c r="F7" s="2" t="inlineStr">
        <is>
          <t>Contract labor</t>
        </is>
      </c>
      <c r="G7" s="3" t="n"/>
      <c r="H7" t="inlineStr">
        <is>
          <t>Capital gains</t>
        </is>
      </c>
    </row>
    <row r="8">
      <c r="E8" t="inlineStr">
        <is>
          <t>COGS</t>
        </is>
      </c>
      <c r="F8" s="2" t="inlineStr">
        <is>
          <t>Cost of goods sold</t>
        </is>
      </c>
      <c r="G8" s="3" t="n"/>
      <c r="H8" t="inlineStr">
        <is>
          <t>Deposit</t>
        </is>
      </c>
    </row>
    <row r="9">
      <c r="E9" t="inlineStr">
        <is>
          <t>Operating</t>
        </is>
      </c>
      <c r="F9" s="2" t="inlineStr">
        <is>
          <t>Deductible meals</t>
        </is>
      </c>
      <c r="G9" s="3" t="n"/>
    </row>
    <row r="10">
      <c r="E10" t="inlineStr">
        <is>
          <t>Taxes</t>
        </is>
      </c>
      <c r="F10" s="2" t="inlineStr">
        <is>
          <t>Deductions</t>
        </is>
      </c>
      <c r="G10" s="3" t="n"/>
    </row>
    <row r="11">
      <c r="E11" t="inlineStr">
        <is>
          <t>Financial</t>
        </is>
      </c>
      <c r="F11" s="2" t="inlineStr">
        <is>
          <t>Depletion (do not deduct oil and gas depletion)</t>
        </is>
      </c>
      <c r="G11" s="3" t="n"/>
    </row>
    <row r="12">
      <c r="E12" t="inlineStr">
        <is>
          <t>Financial</t>
        </is>
      </c>
      <c r="F12" s="2" t="inlineStr">
        <is>
          <t>Depreciation</t>
        </is>
      </c>
      <c r="G12" s="3" t="n"/>
    </row>
    <row r="13">
      <c r="E13" t="inlineStr">
        <is>
          <t>Payroll</t>
        </is>
      </c>
      <c r="F13" s="2" t="inlineStr">
        <is>
          <t>Employee benefit programs</t>
        </is>
      </c>
      <c r="G13" s="3" t="n"/>
    </row>
    <row r="14">
      <c r="E14" t="inlineStr">
        <is>
          <t>Operating</t>
        </is>
      </c>
      <c r="F14" s="2" t="inlineStr">
        <is>
          <t>Energy efficient commercial buildings deduction</t>
        </is>
      </c>
      <c r="G14" s="3" t="n"/>
    </row>
    <row r="15">
      <c r="E15" t="inlineStr">
        <is>
          <t>Operating</t>
        </is>
      </c>
      <c r="F15" s="2" t="inlineStr">
        <is>
          <t>Insurance</t>
        </is>
      </c>
      <c r="G15" s="3" t="n"/>
    </row>
    <row r="16">
      <c r="E16" t="inlineStr">
        <is>
          <t>Financial</t>
        </is>
      </c>
      <c r="F16" s="2" t="inlineStr">
        <is>
          <t>Interest</t>
        </is>
      </c>
      <c r="G16" s="3" t="n"/>
    </row>
    <row r="17">
      <c r="E17" t="inlineStr">
        <is>
          <t>Operating</t>
        </is>
      </c>
      <c r="F17" s="2" t="inlineStr">
        <is>
          <t>Legal and professional services</t>
        </is>
      </c>
      <c r="G17" s="3" t="n"/>
    </row>
    <row r="18">
      <c r="E18" t="inlineStr">
        <is>
          <t>Operating</t>
        </is>
      </c>
      <c r="F18" s="2" t="inlineStr">
        <is>
          <t>Less returns and allowances</t>
        </is>
      </c>
      <c r="G18" s="3" t="n"/>
    </row>
    <row r="19">
      <c r="E19" t="inlineStr">
        <is>
          <t>Financial</t>
        </is>
      </c>
      <c r="F19" s="2" t="inlineStr">
        <is>
          <t>Mortgage</t>
        </is>
      </c>
      <c r="G19" s="3" t="n"/>
    </row>
    <row r="20">
      <c r="E20" t="inlineStr">
        <is>
          <t>Operating</t>
        </is>
      </c>
      <c r="F20" s="2" t="inlineStr">
        <is>
          <t>Office expense</t>
        </is>
      </c>
      <c r="G20" s="3" t="n"/>
    </row>
    <row r="21">
      <c r="E21" t="inlineStr">
        <is>
          <t>Operating</t>
        </is>
      </c>
      <c r="F21" s="2" t="inlineStr">
        <is>
          <t>Other business property</t>
        </is>
      </c>
      <c r="G21" s="3" t="n"/>
    </row>
    <row r="22">
      <c r="E22" t="inlineStr">
        <is>
          <t>Operating</t>
        </is>
      </c>
      <c r="F22" s="2" t="inlineStr">
        <is>
          <t>Other deductions</t>
        </is>
      </c>
      <c r="G22" s="3" t="n"/>
      <c r="J22" s="90" t="n"/>
    </row>
    <row r="23">
      <c r="E23" t="inlineStr">
        <is>
          <t>Operating</t>
        </is>
      </c>
      <c r="F23" s="2" t="inlineStr">
        <is>
          <t>Other expenses</t>
        </is>
      </c>
      <c r="G23" s="3" t="n"/>
    </row>
    <row r="24">
      <c r="E24" t="inlineStr">
        <is>
          <t>Non-Deductible</t>
        </is>
      </c>
      <c r="F24" s="28" t="inlineStr">
        <is>
          <t>Owner's Distribution</t>
        </is>
      </c>
      <c r="G24" s="3" t="n"/>
    </row>
    <row r="25">
      <c r="E25" t="inlineStr">
        <is>
          <t>Payroll</t>
        </is>
      </c>
      <c r="F25" s="2" t="inlineStr">
        <is>
          <t>Pension, profit-sharing, etc., plans</t>
        </is>
      </c>
      <c r="G25" s="3" t="n"/>
    </row>
    <row r="26">
      <c r="E26" t="inlineStr">
        <is>
          <t>Operating</t>
        </is>
      </c>
      <c r="F26" s="2" t="inlineStr">
        <is>
          <t>Rent or lease</t>
        </is>
      </c>
      <c r="G26" s="3" t="n"/>
    </row>
    <row r="27">
      <c r="E27" t="inlineStr">
        <is>
          <t>Operating</t>
        </is>
      </c>
      <c r="F27" s="2" t="inlineStr">
        <is>
          <t>Repairs and maintenance</t>
        </is>
      </c>
      <c r="G27" s="3" t="n"/>
    </row>
    <row r="28">
      <c r="E28" t="inlineStr">
        <is>
          <t>Payroll</t>
        </is>
      </c>
      <c r="F28" s="2" t="inlineStr">
        <is>
          <t>Salaries and wages (less employment credits)</t>
        </is>
      </c>
      <c r="G28" s="3" t="n"/>
    </row>
    <row r="29">
      <c r="E29" t="inlineStr">
        <is>
          <t>COGS</t>
        </is>
      </c>
      <c r="F29" s="2" t="inlineStr">
        <is>
          <t>Supplies</t>
        </is>
      </c>
      <c r="G29" s="3" t="n"/>
    </row>
    <row r="30">
      <c r="E30" t="inlineStr">
        <is>
          <t>Operating</t>
        </is>
      </c>
      <c r="F30" s="48" t="inlineStr">
        <is>
          <t>Suscriptions</t>
        </is>
      </c>
      <c r="G30" s="3" t="n"/>
    </row>
    <row r="31">
      <c r="E31" t="inlineStr">
        <is>
          <t>Taxes</t>
        </is>
      </c>
      <c r="F31" s="2" t="inlineStr">
        <is>
          <t>Taxes and licenses</t>
        </is>
      </c>
      <c r="G31" s="3" t="n"/>
    </row>
    <row r="32">
      <c r="E32" t="inlineStr">
        <is>
          <t>Operating</t>
        </is>
      </c>
      <c r="F32" s="2" t="inlineStr">
        <is>
          <t>Travel</t>
        </is>
      </c>
      <c r="G32" s="3" t="n"/>
    </row>
    <row r="33">
      <c r="E33" t="inlineStr">
        <is>
          <t>Operating</t>
        </is>
      </c>
      <c r="F33" s="2" t="inlineStr">
        <is>
          <t>Utilities</t>
        </is>
      </c>
      <c r="G33" s="3" t="n"/>
    </row>
    <row r="34">
      <c r="E34" t="inlineStr">
        <is>
          <t>Operating</t>
        </is>
      </c>
      <c r="F34" s="2" t="inlineStr">
        <is>
          <t>Vehicles, machinery, and equipment</t>
        </is>
      </c>
    </row>
    <row r="35">
      <c r="E35" t="inlineStr">
        <is>
          <t>Payroll</t>
        </is>
      </c>
      <c r="F35" s="2" t="inlineStr">
        <is>
          <t>Wages</t>
        </is>
      </c>
    </row>
    <row r="36">
      <c r="E36" t="inlineStr">
        <is>
          <t>Non-Deductible</t>
        </is>
      </c>
      <c r="F36" s="48" t="inlineStr">
        <is>
          <t>Loan - Principal</t>
        </is>
      </c>
    </row>
    <row r="37">
      <c r="F37" s="48" t="n"/>
    </row>
    <row r="38">
      <c r="F38" s="48" t="n"/>
    </row>
  </sheetData>
  <conditionalFormatting sqref="E2:E36">
    <cfRule type="containsText" priority="1" operator="containsText" dxfId="5" text="COGS">
      <formula>NOT(ISERROR(SEARCH("COGS",E2)))</formula>
    </cfRule>
    <cfRule type="containsText" priority="2" operator="containsText" dxfId="4" text="Operating">
      <formula>NOT(ISERROR(SEARCH("Operating",E2)))</formula>
    </cfRule>
    <cfRule type="containsText" priority="3" operator="containsText" dxfId="3" text="Payroll">
      <formula>NOT(ISERROR(SEARCH("Payroll",E2)))</formula>
    </cfRule>
    <cfRule type="containsText" priority="4" operator="containsText" dxfId="2" text="Financial">
      <formula>NOT(ISERROR(SEARCH("Financial",E2)))</formula>
    </cfRule>
    <cfRule type="containsText" priority="5" operator="containsText" dxfId="1" text="Taxes">
      <formula>NOT(ISERROR(SEARCH("Taxes",E2)))</formula>
    </cfRule>
    <cfRule type="containsText" priority="6" operator="containsText" dxfId="0" text="Non-Deductible">
      <formula>NOT(ISERROR(SEARCH("Non-Deductible",E2)))</formula>
    </cfRule>
  </conditionalFormatting>
  <dataValidations count="1">
    <dataValidation sqref="F1:F33" showDropDown="0" showInputMessage="1" showErrorMessage="1" allowBlank="1" type="list">
      <formula1>INDIRECT("TablaCategorias[Chart of Account]")</formula1>
    </dataValidation>
  </dataValidations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B6" sqref="B6"/>
    </sheetView>
  </sheetViews>
  <sheetFormatPr baseColWidth="10" defaultRowHeight="15"/>
  <cols>
    <col width="34.28515625" customWidth="1" style="81" min="1" max="1"/>
    <col width="19" customWidth="1" style="81" min="2" max="2"/>
    <col width="28.5703125" customWidth="1" style="81" min="3" max="3"/>
    <col width="34.28515625" customWidth="1" style="81" min="4" max="4"/>
    <col width="22.85546875" customWidth="1" style="81" min="5" max="5"/>
    <col width="19" customWidth="1" style="81" min="6" max="6"/>
    <col width="28.5703125" customWidth="1" style="81" min="7" max="7"/>
  </cols>
  <sheetData>
    <row r="1" ht="18.75" customHeight="1" s="81">
      <c r="A1" s="83" t="inlineStr">
        <is>
          <t>CONTRACT LABOR PAYMENTS / PAGOS A CONTRATISTAS</t>
        </is>
      </c>
    </row>
    <row r="2">
      <c r="A2" s="84" t="inlineStr">
        <is>
          <t>Fiscal Year 2026</t>
        </is>
      </c>
    </row>
    <row r="3"/>
    <row r="4">
      <c r="A4" s="53" t="inlineStr">
        <is>
          <t>Date</t>
        </is>
      </c>
      <c r="B4" s="53" t="inlineStr">
        <is>
          <t>Document #</t>
        </is>
      </c>
      <c r="C4" s="53" t="inlineStr">
        <is>
          <t>Contractor Name</t>
        </is>
      </c>
      <c r="D4" s="53" t="inlineStr">
        <is>
          <t>Description</t>
        </is>
      </c>
      <c r="E4" s="53" t="inlineStr">
        <is>
          <t>Payment Method</t>
        </is>
      </c>
      <c r="F4" s="53" t="inlineStr">
        <is>
          <t>Amount</t>
        </is>
      </c>
      <c r="G4" s="53" t="inlineStr">
        <is>
          <t>Notes</t>
        </is>
      </c>
    </row>
    <row r="5">
      <c r="A5" s="112" t="inlineStr">
        <is>
          <t>(Datos extraídos automáticamente de Expenses)</t>
        </is>
      </c>
      <c r="B5" s="88" t="n"/>
      <c r="C5" s="88" t="n"/>
      <c r="D5" s="88" t="n"/>
      <c r="E5" s="88" t="n"/>
      <c r="F5" s="88" t="n"/>
      <c r="G5" s="89" t="n"/>
    </row>
    <row r="6">
      <c r="A6" s="32" t="n"/>
      <c r="B6" s="32" t="n"/>
      <c r="C6" s="32" t="n"/>
      <c r="D6" s="32" t="n"/>
      <c r="E6" s="32" t="n"/>
      <c r="F6" s="33" t="n"/>
      <c r="G6" s="32" t="n"/>
    </row>
    <row r="7">
      <c r="A7" s="32">
        <f t="array" ref="A7">IFERROR(_xlfn._xlws.FILTER(TablaGastos[Date],TablaGastos[Category]="Contract labor"),"")</f>
        <v/>
      </c>
      <c r="B7" s="32">
        <f t="array" ref="B7">IFERROR(_xlfn._xlws.FILTER(TablaGastos[Document Number],TablaGastos[Category]="Contract labor"),"")</f>
        <v/>
      </c>
      <c r="C7" s="32">
        <f t="array" ref="C7">IFERROR(_xlfn._xlws.FILTER(TablaGastos[Supplier],TablaGastos[Category]="Contract labor"),"")</f>
        <v/>
      </c>
      <c r="D7" s="32">
        <f t="array" ref="D7">IFERROR(_xlfn._xlws.FILTER(TablaGastos[Description],TablaGastos[Category]="Contract labor"),"")</f>
        <v/>
      </c>
      <c r="E7" s="32">
        <f t="array" ref="E7">IFERROR(_xlfn._xlws.FILTER(TablaGastos[Payment Method],TablaGastos[Category]="Contract labor"),"")</f>
        <v/>
      </c>
      <c r="F7" s="33">
        <f t="array" ref="F7">IFERROR(_xlfn._xlws.FILTER(TablaGastos[Amount],TablaGastos[Category]="Contract labor"),"")</f>
        <v/>
      </c>
      <c r="G7" s="32">
        <f t="array" ref="G7">IFERROR(_xlfn._xlws.FILTER(TablaGastos[Notes],TablaGastos[Category]="Contract labor"),"")</f>
        <v/>
      </c>
    </row>
    <row r="8">
      <c r="A8" s="32" t="n"/>
      <c r="B8" s="32" t="n"/>
      <c r="C8" s="32" t="n"/>
      <c r="D8" s="32" t="n"/>
      <c r="E8" s="32" t="n"/>
      <c r="F8" s="33" t="n"/>
      <c r="G8" s="32" t="n"/>
    </row>
    <row r="9">
      <c r="A9" s="32" t="n"/>
      <c r="B9" s="32" t="n"/>
      <c r="C9" s="32" t="n"/>
      <c r="D9" s="32" t="n"/>
      <c r="E9" s="32" t="n"/>
      <c r="F9" s="33" t="n"/>
      <c r="G9" s="32" t="n"/>
    </row>
    <row r="10">
      <c r="A10" s="32" t="n"/>
      <c r="B10" s="32" t="n"/>
      <c r="C10" s="32" t="n"/>
      <c r="D10" s="32" t="n"/>
      <c r="E10" s="32" t="n"/>
      <c r="F10" s="33" t="n"/>
      <c r="G10" s="32" t="n"/>
    </row>
    <row r="11">
      <c r="A11" s="32" t="n"/>
      <c r="B11" s="32" t="n"/>
      <c r="C11" s="32" t="n"/>
      <c r="D11" s="32" t="n"/>
      <c r="E11" s="32" t="n"/>
      <c r="F11" s="33" t="n"/>
      <c r="G11" s="32" t="n"/>
    </row>
    <row r="12">
      <c r="A12" s="32" t="n"/>
      <c r="B12" s="32" t="n"/>
      <c r="C12" s="32" t="n"/>
      <c r="D12" s="32" t="n"/>
      <c r="E12" s="32" t="n"/>
      <c r="F12" s="33" t="n"/>
      <c r="G12" s="32" t="n"/>
    </row>
    <row r="13">
      <c r="A13" s="32" t="n"/>
      <c r="B13" s="32" t="n"/>
      <c r="C13" s="32" t="n"/>
      <c r="D13" s="32" t="n"/>
      <c r="E13" s="32" t="n"/>
      <c r="F13" s="33" t="n"/>
      <c r="G13" s="32" t="n"/>
    </row>
    <row r="14">
      <c r="A14" s="32" t="n"/>
      <c r="B14" s="32" t="n"/>
      <c r="C14" s="32" t="n"/>
      <c r="D14" s="32" t="n"/>
      <c r="E14" s="32" t="n"/>
      <c r="F14" s="33" t="n"/>
      <c r="G14" s="32" t="n"/>
    </row>
    <row r="15">
      <c r="A15" s="32" t="n"/>
      <c r="B15" s="32" t="n"/>
      <c r="C15" s="32" t="n"/>
      <c r="D15" s="32" t="n"/>
      <c r="E15" s="32" t="n"/>
      <c r="F15" s="33" t="n"/>
      <c r="G15" s="32" t="n"/>
    </row>
    <row r="16">
      <c r="A16" s="32" t="n"/>
      <c r="B16" s="32" t="n"/>
      <c r="C16" s="32" t="n"/>
      <c r="D16" s="32" t="n"/>
      <c r="E16" s="32" t="n"/>
      <c r="F16" s="33" t="n"/>
      <c r="G16" s="32" t="n"/>
    </row>
    <row r="17">
      <c r="A17" s="32" t="n"/>
      <c r="B17" s="32" t="n"/>
      <c r="C17" s="32" t="n"/>
      <c r="D17" s="32" t="n"/>
      <c r="E17" s="32" t="n"/>
      <c r="F17" s="33" t="n"/>
      <c r="G17" s="32" t="n"/>
    </row>
    <row r="18">
      <c r="A18" s="32" t="n"/>
      <c r="B18" s="32" t="n"/>
      <c r="C18" s="32" t="n"/>
      <c r="D18" s="32" t="n"/>
      <c r="E18" s="32" t="n"/>
      <c r="F18" s="33" t="n"/>
      <c r="G18" s="32" t="n"/>
    </row>
    <row r="19">
      <c r="A19" s="32" t="n"/>
      <c r="B19" s="32" t="n"/>
      <c r="C19" s="32" t="n"/>
      <c r="D19" s="32" t="n"/>
      <c r="E19" s="32" t="n"/>
      <c r="F19" s="33" t="n"/>
      <c r="G19" s="32" t="n"/>
    </row>
    <row r="20">
      <c r="A20" s="32" t="n"/>
      <c r="B20" s="32" t="n"/>
      <c r="C20" s="32" t="n"/>
      <c r="D20" s="32" t="n"/>
      <c r="E20" s="32" t="n"/>
      <c r="F20" s="33" t="n"/>
      <c r="G20" s="32" t="n"/>
    </row>
    <row r="21"/>
    <row r="22">
      <c r="A22" s="85" t="inlineStr">
        <is>
          <t>SUMMARY / RESUMEN</t>
        </is>
      </c>
    </row>
    <row r="23"/>
    <row r="24">
      <c r="A24" s="36" t="inlineStr">
        <is>
          <t>Total Contract Labor (from Expenses):</t>
        </is>
      </c>
      <c r="C24" s="54">
        <f>SUMIF(TablaGastos[Category],"Contract labor",TablaGastos[Amount])</f>
        <v/>
      </c>
    </row>
    <row r="25">
      <c r="A25" s="36" t="n"/>
      <c r="C25" s="54" t="n"/>
    </row>
    <row r="26"/>
    <row r="27" ht="15.75" customHeight="1" s="81">
      <c r="A27" s="6" t="inlineStr">
        <is>
          <t>GRAND TOTAL:</t>
        </is>
      </c>
      <c r="C27" s="55">
        <f>C24</f>
        <v/>
      </c>
    </row>
    <row r="28"/>
    <row r="29">
      <c r="A29" s="86" t="inlineStr">
        <is>
          <t>PAYMENTS BY CONTRACTOR / PAGOS POR CONTRATISTA</t>
        </is>
      </c>
    </row>
    <row r="30"/>
    <row r="31">
      <c r="A31" s="56" t="inlineStr">
        <is>
          <t>Contractor Name</t>
        </is>
      </c>
      <c r="B31" s="56" t="inlineStr">
        <is>
          <t>Total Paid</t>
        </is>
      </c>
      <c r="C31" s="56" t="inlineStr">
        <is>
          <t># Payments</t>
        </is>
      </c>
    </row>
    <row r="32">
      <c r="A32" s="32">
        <f t="array" ref="A32">IFERROR(_xlfn._xlws.FILTER(_xlfn.UNIQUE(TablaGastos[Supplier]),COUNTIF(TablaGastos[Category],"Contract labor")&gt;0),"No hay contratistas")</f>
        <v/>
      </c>
      <c r="B32" s="33">
        <f>IFERROR(SUMIFS(TablaGastos[Amount],TablaGastos[Category],"Contract labor",TablaGastos[Supplier],A32),"")</f>
        <v/>
      </c>
      <c r="C32" s="32">
        <f>IFERROR(COUNTIFS(TablaGastos[Category],"Contract labor",TablaGastos[Supplier],A32),"")</f>
        <v/>
      </c>
    </row>
    <row r="33">
      <c r="A33" s="32" t="n"/>
      <c r="B33" s="33" t="n"/>
      <c r="C33" s="32" t="n"/>
    </row>
    <row r="34">
      <c r="A34" s="32" t="n"/>
      <c r="B34" s="33" t="n"/>
      <c r="C34" s="32" t="n"/>
    </row>
    <row r="35">
      <c r="A35" s="32" t="n"/>
      <c r="B35" s="33" t="n"/>
      <c r="C35" s="32" t="n"/>
    </row>
    <row r="36">
      <c r="A36" s="32" t="n"/>
      <c r="B36" s="33" t="n"/>
      <c r="C36" s="32" t="n"/>
    </row>
    <row r="37">
      <c r="A37" s="32" t="n"/>
      <c r="B37" s="33" t="n"/>
      <c r="C37" s="32" t="n"/>
    </row>
    <row r="38">
      <c r="A38" s="32" t="n"/>
      <c r="B38" s="33" t="n"/>
      <c r="C38" s="32" t="n"/>
    </row>
    <row r="39">
      <c r="A39" s="32" t="n"/>
      <c r="B39" s="33" t="n"/>
      <c r="C39" s="32" t="n"/>
    </row>
    <row r="40">
      <c r="A40" s="32" t="n"/>
      <c r="B40" s="33" t="n"/>
      <c r="C40" s="32" t="n"/>
    </row>
    <row r="41"/>
    <row r="42">
      <c r="A42" s="36" t="inlineStr">
        <is>
          <t>📝 FUNCIONAMIENTO AUTOMÁTICO:</t>
        </is>
      </c>
    </row>
    <row r="43">
      <c r="A43" s="57" t="inlineStr">
        <is>
          <t>1. Los datos se extraen automáticamente de la hoja Expenses cuando la categoría es 'Contract labor'</t>
        </is>
      </c>
    </row>
    <row r="44">
      <c r="A44" s="57" t="inlineStr">
        <is>
          <t>2. La sección 'Payments by Contractor' muestra el resumen por cada contratista</t>
        </is>
      </c>
    </row>
    <row r="45">
      <c r="A45" s="57" t="inlineStr">
        <is>
          <t>3. Para agregar nuevos pagos, ve a la hoja Expenses y usa la categoría 'Contract labor'</t>
        </is>
      </c>
    </row>
    <row r="46">
      <c r="A46" s="57" t="inlineStr">
        <is>
          <t>4. Todo se actualiza automáticamente con fórmulas FILTER, UNIQUE y SUMIFS</t>
        </is>
      </c>
    </row>
  </sheetData>
  <mergeCells count="5">
    <mergeCell ref="A1:G1"/>
    <mergeCell ref="A22:G22"/>
    <mergeCell ref="A2:G2"/>
    <mergeCell ref="A29:G29"/>
    <mergeCell ref="A5:G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10" defaultRowHeight="15"/>
  <cols>
    <col width="9.5703125" bestFit="1" customWidth="1" style="113" min="1" max="1"/>
    <col width="24.7109375" bestFit="1" customWidth="1" style="81" min="2" max="2"/>
    <col width="12.85546875" bestFit="1" customWidth="1" style="81" min="3" max="3"/>
    <col width="17.85546875" bestFit="1" customWidth="1" style="81" min="4" max="4"/>
    <col width="24" bestFit="1" customWidth="1" style="81" min="5" max="5"/>
    <col width="7.85546875" bestFit="1" customWidth="1" style="94" min="6" max="6"/>
  </cols>
  <sheetData>
    <row r="1">
      <c r="A1" s="114" t="inlineStr">
        <is>
          <t>Account #</t>
        </is>
      </c>
      <c r="B1" s="49" t="inlineStr">
        <is>
          <t>Account Name</t>
        </is>
      </c>
      <c r="C1" s="49" t="inlineStr">
        <is>
          <t>Account Type</t>
        </is>
      </c>
      <c r="D1" s="49" t="inlineStr">
        <is>
          <t>Sub-Type</t>
        </is>
      </c>
      <c r="E1" s="49" t="inlineStr">
        <is>
          <t>Description</t>
        </is>
      </c>
      <c r="F1" s="93" t="inlineStr">
        <is>
          <t>Balance</t>
        </is>
      </c>
    </row>
    <row r="2">
      <c r="A2" s="113" t="n">
        <v>1000</v>
      </c>
      <c r="B2" t="inlineStr">
        <is>
          <t>Cash</t>
        </is>
      </c>
      <c r="C2" t="inlineStr">
        <is>
          <t>Asset</t>
        </is>
      </c>
      <c r="D2" t="inlineStr">
        <is>
          <t>Current Asset</t>
        </is>
      </c>
      <c r="E2" t="inlineStr">
        <is>
          <t>Efectivo en caja y bancos</t>
        </is>
      </c>
    </row>
    <row r="3">
      <c r="A3" s="113" t="n">
        <v>1010</v>
      </c>
      <c r="B3" t="inlineStr">
        <is>
          <t>Checking Account</t>
        </is>
      </c>
      <c r="C3" t="inlineStr">
        <is>
          <t>Asset</t>
        </is>
      </c>
      <c r="D3" t="inlineStr">
        <is>
          <t>Current Asset</t>
        </is>
      </c>
      <c r="E3" t="inlineStr">
        <is>
          <t>Cuenta corriente</t>
        </is>
      </c>
    </row>
    <row r="4">
      <c r="A4" s="113" t="n">
        <v>1020</v>
      </c>
      <c r="B4" t="inlineStr">
        <is>
          <t>Savings Account</t>
        </is>
      </c>
      <c r="C4" t="inlineStr">
        <is>
          <t>Asset</t>
        </is>
      </c>
      <c r="D4" t="inlineStr">
        <is>
          <t>Current Asset</t>
        </is>
      </c>
      <c r="E4" t="inlineStr">
        <is>
          <t>Cuenta de ahorros</t>
        </is>
      </c>
    </row>
    <row r="5">
      <c r="A5" s="113" t="n">
        <v>1100</v>
      </c>
      <c r="B5" t="inlineStr">
        <is>
          <t>Accounts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Cuentas por cobrar</t>
        </is>
      </c>
    </row>
    <row r="6">
      <c r="A6" s="113" t="n">
        <v>1200</v>
      </c>
      <c r="B6" t="inlineStr">
        <is>
          <t>Inventory</t>
        </is>
      </c>
      <c r="C6" t="inlineStr">
        <is>
          <t>Asset</t>
        </is>
      </c>
      <c r="D6" t="inlineStr">
        <is>
          <t>Current Asset</t>
        </is>
      </c>
      <c r="E6" t="inlineStr">
        <is>
          <t>Inventario</t>
        </is>
      </c>
    </row>
    <row r="7">
      <c r="A7" s="113" t="n">
        <v>1500</v>
      </c>
      <c r="B7" t="inlineStr">
        <is>
          <t>Equipment</t>
        </is>
      </c>
      <c r="C7" t="inlineStr">
        <is>
          <t>Asset</t>
        </is>
      </c>
      <c r="D7" t="inlineStr">
        <is>
          <t>Fixed Asset</t>
        </is>
      </c>
      <c r="E7" t="inlineStr">
        <is>
          <t>Equipo</t>
        </is>
      </c>
    </row>
    <row r="8">
      <c r="A8" s="113" t="n">
        <v>1510</v>
      </c>
      <c r="B8" t="inlineStr">
        <is>
          <t>Accumulated Depreciation</t>
        </is>
      </c>
      <c r="C8" t="inlineStr">
        <is>
          <t>Asset</t>
        </is>
      </c>
      <c r="D8" t="inlineStr">
        <is>
          <t>Fixed Asset</t>
        </is>
      </c>
      <c r="E8" t="inlineStr">
        <is>
          <t>Depreciación acumulada</t>
        </is>
      </c>
    </row>
    <row r="9">
      <c r="A9" s="113" t="n">
        <v>2000</v>
      </c>
      <c r="B9" t="inlineStr">
        <is>
          <t>Accounts Payable</t>
        </is>
      </c>
      <c r="C9" t="inlineStr">
        <is>
          <t>Liability</t>
        </is>
      </c>
      <c r="D9" t="inlineStr">
        <is>
          <t>Current Liability</t>
        </is>
      </c>
      <c r="E9" t="inlineStr">
        <is>
          <t>Cuentas por pagar</t>
        </is>
      </c>
    </row>
    <row r="10">
      <c r="A10" s="113" t="n">
        <v>2100</v>
      </c>
      <c r="B10" t="inlineStr">
        <is>
          <t>Short-term Debt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Deuda a corto plazo</t>
        </is>
      </c>
    </row>
    <row r="11">
      <c r="A11" s="113" t="n">
        <v>2500</v>
      </c>
      <c r="B11" t="inlineStr">
        <is>
          <t>Long-term Debt</t>
        </is>
      </c>
      <c r="C11" t="inlineStr">
        <is>
          <t>Liability</t>
        </is>
      </c>
      <c r="D11" t="inlineStr">
        <is>
          <t>Long-term Liability</t>
        </is>
      </c>
      <c r="E11" t="inlineStr">
        <is>
          <t>Deuda a largo plazo</t>
        </is>
      </c>
    </row>
    <row r="12">
      <c r="A12" s="113" t="n">
        <v>3000</v>
      </c>
      <c r="B12" t="inlineStr">
        <is>
          <t>Owner's Capital</t>
        </is>
      </c>
      <c r="C12" t="inlineStr">
        <is>
          <t>Equity</t>
        </is>
      </c>
      <c r="D12" t="inlineStr">
        <is>
          <t>Owner's Equity</t>
        </is>
      </c>
      <c r="E12" t="inlineStr">
        <is>
          <t>Capital del propietario</t>
        </is>
      </c>
    </row>
    <row r="13">
      <c r="A13" s="113" t="n">
        <v>3100</v>
      </c>
      <c r="B13" t="inlineStr">
        <is>
          <t>Retained Earnings</t>
        </is>
      </c>
      <c r="C13" t="inlineStr">
        <is>
          <t>Equity</t>
        </is>
      </c>
      <c r="D13" t="inlineStr">
        <is>
          <t>Owner's Equity</t>
        </is>
      </c>
      <c r="E13" t="inlineStr">
        <is>
          <t>Ganancias retenidas</t>
        </is>
      </c>
    </row>
    <row r="14">
      <c r="A14" s="113" t="n">
        <v>4000</v>
      </c>
      <c r="B14" t="inlineStr">
        <is>
          <t>Sales Revenue</t>
        </is>
      </c>
      <c r="C14" t="inlineStr">
        <is>
          <t>Income</t>
        </is>
      </c>
      <c r="D14" t="inlineStr">
        <is>
          <t>Operating Income</t>
        </is>
      </c>
      <c r="E14" t="inlineStr">
        <is>
          <t>Ingresos por ventas</t>
        </is>
      </c>
    </row>
    <row r="15">
      <c r="A15" s="113" t="n">
        <v>4100</v>
      </c>
      <c r="B15" t="inlineStr">
        <is>
          <t>Service Revenue</t>
        </is>
      </c>
      <c r="C15" t="inlineStr">
        <is>
          <t>Income</t>
        </is>
      </c>
      <c r="D15" t="inlineStr">
        <is>
          <t>Operating Income</t>
        </is>
      </c>
      <c r="E15" t="inlineStr">
        <is>
          <t>Ingresos por servicios</t>
        </is>
      </c>
    </row>
    <row r="16">
      <c r="A16" s="113" t="n">
        <v>4200</v>
      </c>
      <c r="B16" t="inlineStr">
        <is>
          <t>Interest Income</t>
        </is>
      </c>
      <c r="C16" t="inlineStr">
        <is>
          <t>Income</t>
        </is>
      </c>
      <c r="D16" t="inlineStr">
        <is>
          <t>Other Income</t>
        </is>
      </c>
      <c r="E16" t="inlineStr">
        <is>
          <t>Ingresos por intereses</t>
        </is>
      </c>
    </row>
    <row r="17">
      <c r="A17" s="113" t="n">
        <v>5000</v>
      </c>
      <c r="B17" t="inlineStr">
        <is>
          <t>Cost of Goods Sold</t>
        </is>
      </c>
      <c r="C17" t="inlineStr">
        <is>
          <t>Expense</t>
        </is>
      </c>
      <c r="D17" t="inlineStr">
        <is>
          <t>Cost of Sales</t>
        </is>
      </c>
      <c r="E17" t="inlineStr">
        <is>
          <t>Costo de bienes vendidos</t>
        </is>
      </c>
    </row>
    <row r="18">
      <c r="A18" s="113" t="n">
        <v>5100</v>
      </c>
      <c r="B18" t="inlineStr">
        <is>
          <t>Salaries &amp; Wages</t>
        </is>
      </c>
      <c r="C18" t="inlineStr">
        <is>
          <t>Expense</t>
        </is>
      </c>
      <c r="D18" t="inlineStr">
        <is>
          <t>Operating Expense</t>
        </is>
      </c>
      <c r="E18" t="inlineStr">
        <is>
          <t>Sueldos y salarios</t>
        </is>
      </c>
    </row>
    <row r="19">
      <c r="A19" s="113" t="n">
        <v>5200</v>
      </c>
      <c r="B19" t="inlineStr">
        <is>
          <t>Rent Expense</t>
        </is>
      </c>
      <c r="C19" t="inlineStr">
        <is>
          <t>Expense</t>
        </is>
      </c>
      <c r="D19" t="inlineStr">
        <is>
          <t>Operating Expense</t>
        </is>
      </c>
      <c r="E19" t="inlineStr">
        <is>
          <t>Gasto de alquiler</t>
        </is>
      </c>
    </row>
    <row r="20">
      <c r="A20" s="113" t="n">
        <v>5300</v>
      </c>
      <c r="B20" t="inlineStr">
        <is>
          <t>Utilities Expense</t>
        </is>
      </c>
      <c r="C20" t="inlineStr">
        <is>
          <t>Expense</t>
        </is>
      </c>
      <c r="D20" t="inlineStr">
        <is>
          <t>Operating Expense</t>
        </is>
      </c>
      <c r="E20" t="inlineStr">
        <is>
          <t>Gasto de servicios</t>
        </is>
      </c>
    </row>
    <row r="21">
      <c r="A21" s="113" t="n">
        <v>5400</v>
      </c>
      <c r="B21" t="inlineStr">
        <is>
          <t>Office Supplies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Suministros de oficina</t>
        </is>
      </c>
    </row>
    <row r="22">
      <c r="A22" s="113" t="n">
        <v>5500</v>
      </c>
      <c r="B22" t="inlineStr">
        <is>
          <t>Marketing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Gasto de marketing</t>
        </is>
      </c>
    </row>
    <row r="23">
      <c r="A23" s="113" t="n">
        <v>5600</v>
      </c>
      <c r="B23" t="inlineStr">
        <is>
          <t>Depreciation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Gasto de depreciación</t>
        </is>
      </c>
    </row>
    <row r="24">
      <c r="A24" s="113" t="n">
        <v>5700</v>
      </c>
      <c r="B24" t="inlineStr">
        <is>
          <t>Interest Expense</t>
        </is>
      </c>
      <c r="C24" t="inlineStr">
        <is>
          <t>Expense</t>
        </is>
      </c>
      <c r="D24" t="inlineStr">
        <is>
          <t>Financing Expense</t>
        </is>
      </c>
      <c r="E24" t="inlineStr">
        <is>
          <t>Gasto de intereses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A1" sqref="A1"/>
    </sheetView>
  </sheetViews>
  <sheetFormatPr baseColWidth="10" defaultRowHeight="15"/>
  <cols>
    <col width="12.42578125" bestFit="1" customWidth="1" style="81" min="1" max="1"/>
    <col width="5.140625" bestFit="1" customWidth="1" style="4" min="2" max="2"/>
    <col width="11.140625" bestFit="1" customWidth="1" style="81" min="3" max="3"/>
    <col width="9.5703125" bestFit="1" customWidth="1" style="81" min="4" max="4"/>
    <col width="13.85546875" bestFit="1" customWidth="1" style="81" min="5" max="5"/>
    <col width="5.85546875" bestFit="1" customWidth="1" style="94" min="6" max="6"/>
    <col width="6.42578125" bestFit="1" customWidth="1" style="94" min="7" max="7"/>
    <col width="10.140625" bestFit="1" customWidth="1" style="81" min="8" max="8"/>
    <col width="6.28515625" bestFit="1" customWidth="1" style="81" min="9" max="9"/>
  </cols>
  <sheetData>
    <row r="1">
      <c r="A1" s="95" t="inlineStr">
        <is>
          <t>Entry #</t>
        </is>
      </c>
      <c r="B1" s="96" t="inlineStr">
        <is>
          <t>Date</t>
        </is>
      </c>
      <c r="C1" s="95" t="inlineStr">
        <is>
          <t>Description</t>
        </is>
      </c>
      <c r="D1" s="95" t="inlineStr">
        <is>
          <t>Account #</t>
        </is>
      </c>
      <c r="E1" s="95" t="inlineStr">
        <is>
          <t>Account Name</t>
        </is>
      </c>
      <c r="F1" s="97" t="inlineStr">
        <is>
          <t>Debit</t>
        </is>
      </c>
      <c r="G1" s="97" t="inlineStr">
        <is>
          <t>Credit</t>
        </is>
      </c>
      <c r="H1" s="95" t="inlineStr">
        <is>
          <t>Reference</t>
        </is>
      </c>
      <c r="I1" s="95" t="inlineStr">
        <is>
          <t>Notes</t>
        </is>
      </c>
    </row>
    <row r="2">
      <c r="A2" s="98" t="inlineStr">
        <is>
          <t>Instructions:</t>
        </is>
      </c>
      <c r="B2" s="99" t="n"/>
      <c r="C2" s="98" t="n"/>
      <c r="D2" s="98" t="n"/>
      <c r="E2" s="98" t="n"/>
      <c r="F2" s="100" t="n"/>
      <c r="G2" s="100" t="n"/>
      <c r="H2" s="98" t="n"/>
      <c r="I2" s="9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10" defaultRowHeight="15"/>
  <cols>
    <col width="7.140625" bestFit="1" customWidth="1" style="81" min="1" max="1"/>
    <col width="5.140625" bestFit="1" customWidth="1" style="4" min="2" max="2"/>
    <col width="9.5703125" bestFit="1" customWidth="1" style="81" min="3" max="3"/>
    <col width="13.85546875" bestFit="1" customWidth="1" style="81" min="4" max="4"/>
    <col width="11.140625" bestFit="1" customWidth="1" style="81" min="5" max="5"/>
    <col width="5.85546875" bestFit="1" customWidth="1" style="94" min="6" max="6"/>
    <col width="6.42578125" bestFit="1" customWidth="1" style="94" min="7" max="7"/>
    <col width="7.85546875" bestFit="1" customWidth="1" style="94" min="8" max="8"/>
    <col width="10.140625" bestFit="1" customWidth="1" style="81" min="9" max="9"/>
  </cols>
  <sheetData>
    <row r="1">
      <c r="A1" s="101" t="inlineStr">
        <is>
          <t>Trans #</t>
        </is>
      </c>
      <c r="B1" s="102" t="inlineStr">
        <is>
          <t>Date</t>
        </is>
      </c>
      <c r="C1" s="101" t="inlineStr">
        <is>
          <t>Account #</t>
        </is>
      </c>
      <c r="D1" s="101" t="inlineStr">
        <is>
          <t>Account Name</t>
        </is>
      </c>
      <c r="E1" s="101" t="inlineStr">
        <is>
          <t>Description</t>
        </is>
      </c>
      <c r="F1" s="103" t="inlineStr">
        <is>
          <t>Debit</t>
        </is>
      </c>
      <c r="G1" s="103" t="inlineStr">
        <is>
          <t>Credit</t>
        </is>
      </c>
      <c r="H1" s="103" t="inlineStr">
        <is>
          <t>Balance</t>
        </is>
      </c>
      <c r="I1" s="101" t="inlineStr">
        <is>
          <t>Reference</t>
        </is>
      </c>
    </row>
    <row r="2">
      <c r="A2" s="98" t="inlineStr">
        <is>
          <t>This is auto-populated from Journal Entry</t>
        </is>
      </c>
      <c r="B2" s="99" t="n"/>
      <c r="C2" s="98" t="n"/>
      <c r="D2" s="98" t="n"/>
      <c r="E2" s="98" t="n"/>
      <c r="F2" s="100" t="n"/>
      <c r="G2" s="100" t="n"/>
      <c r="H2" s="100" t="n"/>
      <c r="I2" s="9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B6" sqref="B6"/>
    </sheetView>
  </sheetViews>
  <sheetFormatPr baseColWidth="10" defaultRowHeight="15"/>
  <cols>
    <col width="9.5703125" bestFit="1" customWidth="1" style="81" min="1" max="1"/>
    <col width="13.85546875" bestFit="1" customWidth="1" style="81" min="2" max="2"/>
    <col width="5.85546875" bestFit="1" customWidth="1" style="94" min="3" max="3"/>
    <col width="6.42578125" bestFit="1" customWidth="1" style="94" min="4" max="4"/>
  </cols>
  <sheetData>
    <row r="1" ht="18.75" customHeight="1" s="81">
      <c r="A1" s="105" t="inlineStr">
        <is>
          <t>Trial Balance</t>
        </is>
      </c>
    </row>
    <row r="2">
      <c r="A2" s="106" t="inlineStr">
        <is>
          <t>Account #</t>
        </is>
      </c>
      <c r="B2" s="106" t="inlineStr">
        <is>
          <t>Account Name</t>
        </is>
      </c>
      <c r="C2" s="108" t="inlineStr">
        <is>
          <t>Debit</t>
        </is>
      </c>
      <c r="D2" s="108" t="inlineStr">
        <is>
          <t>Credit</t>
        </is>
      </c>
    </row>
    <row r="26">
      <c r="A26" s="107" t="inlineStr">
        <is>
          <t>TOTALS</t>
        </is>
      </c>
      <c r="B26" s="107" t="n"/>
      <c r="C26" s="109" t="n"/>
      <c r="D26" s="109" t="n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10" defaultRowHeight="15"/>
  <cols>
    <col width="11.85546875" bestFit="1" customWidth="1" style="81" min="1" max="1"/>
    <col width="6.28515625" bestFit="1" customWidth="1" style="81" min="2" max="2"/>
    <col width="5.85546875" bestFit="1" customWidth="1" style="81" min="3" max="3"/>
    <col width="6.7109375" bestFit="1" customWidth="1" style="81" min="4" max="4"/>
    <col width="8.140625" bestFit="1" customWidth="1" style="81" min="5" max="5"/>
    <col width="4.42578125" bestFit="1" customWidth="1" style="81" min="6" max="6"/>
    <col width="11.85546875" bestFit="1" customWidth="1" style="94" min="7" max="7"/>
    <col width="11.28515625" bestFit="1" customWidth="1" style="94" min="8" max="8"/>
    <col width="6.42578125" bestFit="1" customWidth="1" style="81" min="9" max="9"/>
  </cols>
  <sheetData>
    <row r="1">
      <c r="A1" s="49" t="inlineStr">
        <is>
          <t>Customer ID</t>
        </is>
      </c>
      <c r="B1" s="49" t="inlineStr">
        <is>
          <t>Name</t>
        </is>
      </c>
      <c r="C1" s="49" t="inlineStr">
        <is>
          <t>Email</t>
        </is>
      </c>
      <c r="D1" s="49" t="inlineStr">
        <is>
          <t>Phone</t>
        </is>
      </c>
      <c r="E1" s="49" t="inlineStr">
        <is>
          <t>Address</t>
        </is>
      </c>
      <c r="F1" s="49" t="inlineStr">
        <is>
          <t>City</t>
        </is>
      </c>
      <c r="G1" s="93" t="inlineStr">
        <is>
          <t>Balance Due</t>
        </is>
      </c>
      <c r="H1" s="93" t="inlineStr">
        <is>
          <t>Credit Limit</t>
        </is>
      </c>
      <c r="I1" s="49" t="inlineStr">
        <is>
          <t>Status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10" defaultRowHeight="15"/>
  <cols>
    <col width="9.85546875" bestFit="1" customWidth="1" style="81" min="1" max="1"/>
    <col width="6.28515625" bestFit="1" customWidth="1" style="81" min="2" max="2"/>
    <col width="5.85546875" bestFit="1" customWidth="1" style="81" min="3" max="3"/>
    <col width="6.7109375" bestFit="1" customWidth="1" style="81" min="4" max="4"/>
    <col width="8.140625" bestFit="1" customWidth="1" style="81" min="5" max="5"/>
    <col width="4.42578125" bestFit="1" customWidth="1" style="81" min="6" max="6"/>
    <col width="11.85546875" bestFit="1" customWidth="1" style="94" min="7" max="7"/>
    <col width="14.7109375" bestFit="1" customWidth="1" style="81" min="8" max="8"/>
    <col width="6.42578125" bestFit="1" customWidth="1" style="81" min="9" max="9"/>
  </cols>
  <sheetData>
    <row r="1">
      <c r="A1" s="51" t="inlineStr">
        <is>
          <t>Vendor ID</t>
        </is>
      </c>
      <c r="B1" s="51" t="inlineStr">
        <is>
          <t>Name</t>
        </is>
      </c>
      <c r="C1" s="51" t="inlineStr">
        <is>
          <t>Email</t>
        </is>
      </c>
      <c r="D1" s="51" t="inlineStr">
        <is>
          <t>Phone</t>
        </is>
      </c>
      <c r="E1" s="51" t="inlineStr">
        <is>
          <t>Address</t>
        </is>
      </c>
      <c r="F1" s="51" t="inlineStr">
        <is>
          <t>City</t>
        </is>
      </c>
      <c r="G1" s="104" t="inlineStr">
        <is>
          <t>Balance Due</t>
        </is>
      </c>
      <c r="H1" s="51" t="inlineStr">
        <is>
          <t>Payment Terms</t>
        </is>
      </c>
      <c r="I1" s="51" t="inlineStr">
        <is>
          <t>Status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Rodriguez</dc:creator>
  <dcterms:created xsi:type="dcterms:W3CDTF">2026-05-19T16:06:18Z</dcterms:created>
  <dcterms:modified xsi:type="dcterms:W3CDTF">2026-05-26T17:26:45Z</dcterms:modified>
  <cp:lastModifiedBy>Ray Rodriguez</cp:lastModifiedBy>
  <cp:lastPrinted>2026-05-21T18:26:15Z</cp:lastPrinted>
</cp:coreProperties>
</file>